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dharod/Desktop/Platform/Unified Portal/"/>
    </mc:Choice>
  </mc:AlternateContent>
  <xr:revisionPtr revIDLastSave="0" documentId="8_{6CB579E9-BEB5-1E4C-A67B-8A7219008173}" xr6:coauthVersionLast="47" xr6:coauthVersionMax="47" xr10:uidLastSave="{00000000-0000-0000-0000-000000000000}"/>
  <bookViews>
    <workbookView xWindow="4460" yWindow="3660" windowWidth="26840" windowHeight="15940" xr2:uid="{EE607F0C-735E-B248-8F49-823673EBA8AF}"/>
  </bookViews>
  <sheets>
    <sheet name="Breakdown of Results" sheetId="1" r:id="rId1"/>
  </sheets>
  <externalReferences>
    <externalReference r:id="rId2"/>
    <externalReference r:id="rId3"/>
  </externalReferences>
  <definedNames>
    <definedName name="DisabilityType">'[2]Background Data'!$G$2:$G$9</definedName>
    <definedName name="Scope">[2]Scope!$A$2:$A$87</definedName>
    <definedName name="Severity">'[2]Background Data'!$F$2:$F$7</definedName>
    <definedName name="WCAG_Criteria">'[2]Background Data'!$A$2:$A$57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E2" i="1"/>
  <c r="F2" i="1"/>
  <c r="O4" i="1" s="1"/>
  <c r="G2" i="1"/>
  <c r="P4" i="1" s="1"/>
  <c r="H2" i="1"/>
  <c r="Q4" i="1" s="1"/>
  <c r="C3" i="1"/>
  <c r="I3" i="1" s="1"/>
  <c r="D3" i="1"/>
  <c r="M6" i="1" s="1"/>
  <c r="E3" i="1"/>
  <c r="N6" i="1" s="1"/>
  <c r="F3" i="1"/>
  <c r="G3" i="1"/>
  <c r="P6" i="1" s="1"/>
  <c r="H3" i="1"/>
  <c r="C4" i="1"/>
  <c r="D4" i="1"/>
  <c r="E4" i="1"/>
  <c r="F4" i="1"/>
  <c r="G4" i="1"/>
  <c r="H4" i="1"/>
  <c r="Q6" i="1" s="1"/>
  <c r="I4" i="1"/>
  <c r="C5" i="1"/>
  <c r="D5" i="1"/>
  <c r="E5" i="1"/>
  <c r="F5" i="1"/>
  <c r="G5" i="1"/>
  <c r="I5" i="1" s="1"/>
  <c r="H5" i="1"/>
  <c r="C6" i="1"/>
  <c r="D6" i="1"/>
  <c r="E6" i="1"/>
  <c r="N5" i="1" s="1"/>
  <c r="F6" i="1"/>
  <c r="O5" i="1" s="1"/>
  <c r="G6" i="1"/>
  <c r="P5" i="1" s="1"/>
  <c r="H6" i="1"/>
  <c r="Q5" i="1" s="1"/>
  <c r="C7" i="1"/>
  <c r="I7" i="1" s="1"/>
  <c r="D7" i="1"/>
  <c r="M5" i="1" s="1"/>
  <c r="E7" i="1"/>
  <c r="F7" i="1"/>
  <c r="G7" i="1"/>
  <c r="H7" i="1"/>
  <c r="C8" i="1"/>
  <c r="D8" i="1"/>
  <c r="E8" i="1"/>
  <c r="F8" i="1"/>
  <c r="G8" i="1"/>
  <c r="H8" i="1"/>
  <c r="I8" i="1"/>
  <c r="C9" i="1"/>
  <c r="I9" i="1" s="1"/>
  <c r="D9" i="1"/>
  <c r="E9" i="1"/>
  <c r="F9" i="1"/>
  <c r="G9" i="1"/>
  <c r="H9" i="1"/>
  <c r="C10" i="1"/>
  <c r="D10" i="1"/>
  <c r="E10" i="1"/>
  <c r="F10" i="1"/>
  <c r="G10" i="1"/>
  <c r="I10" i="1" s="1"/>
  <c r="H10" i="1"/>
  <c r="C11" i="1"/>
  <c r="I11" i="1" s="1"/>
  <c r="D11" i="1"/>
  <c r="E11" i="1"/>
  <c r="F11" i="1"/>
  <c r="G11" i="1"/>
  <c r="H11" i="1"/>
  <c r="N11" i="1"/>
  <c r="N13" i="1" s="1"/>
  <c r="C12" i="1"/>
  <c r="I12" i="1" s="1"/>
  <c r="D12" i="1"/>
  <c r="E12" i="1"/>
  <c r="F12" i="1"/>
  <c r="G12" i="1"/>
  <c r="H12" i="1"/>
  <c r="N12" i="1"/>
  <c r="C13" i="1"/>
  <c r="I13" i="1" s="1"/>
  <c r="D13" i="1"/>
  <c r="E13" i="1"/>
  <c r="F13" i="1"/>
  <c r="G13" i="1"/>
  <c r="H13" i="1"/>
  <c r="C14" i="1"/>
  <c r="D14" i="1"/>
  <c r="E14" i="1"/>
  <c r="F14" i="1"/>
  <c r="I14" i="1" s="1"/>
  <c r="G14" i="1"/>
  <c r="H14" i="1"/>
  <c r="C15" i="1"/>
  <c r="I15" i="1" s="1"/>
  <c r="D15" i="1"/>
  <c r="E15" i="1"/>
  <c r="F15" i="1"/>
  <c r="G15" i="1"/>
  <c r="H15" i="1"/>
  <c r="C16" i="1"/>
  <c r="I16" i="1" s="1"/>
  <c r="D16" i="1"/>
  <c r="E16" i="1"/>
  <c r="F16" i="1"/>
  <c r="G16" i="1"/>
  <c r="H16" i="1"/>
  <c r="C17" i="1"/>
  <c r="D17" i="1"/>
  <c r="E17" i="1"/>
  <c r="F17" i="1"/>
  <c r="G17" i="1"/>
  <c r="H17" i="1"/>
  <c r="I17" i="1"/>
  <c r="C18" i="1"/>
  <c r="I18" i="1" s="1"/>
  <c r="D18" i="1"/>
  <c r="E18" i="1"/>
  <c r="F18" i="1"/>
  <c r="G18" i="1"/>
  <c r="H18" i="1"/>
  <c r="C19" i="1"/>
  <c r="D19" i="1"/>
  <c r="E19" i="1"/>
  <c r="F19" i="1"/>
  <c r="G19" i="1"/>
  <c r="H19" i="1"/>
  <c r="I19" i="1"/>
  <c r="C20" i="1"/>
  <c r="I20" i="1" s="1"/>
  <c r="D20" i="1"/>
  <c r="E20" i="1"/>
  <c r="F20" i="1"/>
  <c r="G20" i="1"/>
  <c r="H20" i="1"/>
  <c r="C21" i="1"/>
  <c r="D21" i="1"/>
  <c r="E21" i="1"/>
  <c r="F21" i="1"/>
  <c r="G21" i="1"/>
  <c r="I21" i="1" s="1"/>
  <c r="H21" i="1"/>
  <c r="C22" i="1"/>
  <c r="D22" i="1"/>
  <c r="E22" i="1"/>
  <c r="F22" i="1"/>
  <c r="G22" i="1"/>
  <c r="H22" i="1"/>
  <c r="I22" i="1"/>
  <c r="C23" i="1"/>
  <c r="I23" i="1" s="1"/>
  <c r="D23" i="1"/>
  <c r="E23" i="1"/>
  <c r="F23" i="1"/>
  <c r="G23" i="1"/>
  <c r="H23" i="1"/>
  <c r="C24" i="1"/>
  <c r="D24" i="1"/>
  <c r="E24" i="1"/>
  <c r="F24" i="1"/>
  <c r="G24" i="1"/>
  <c r="H24" i="1"/>
  <c r="I24" i="1"/>
  <c r="C25" i="1"/>
  <c r="I25" i="1" s="1"/>
  <c r="D25" i="1"/>
  <c r="E25" i="1"/>
  <c r="F25" i="1"/>
  <c r="G25" i="1"/>
  <c r="H25" i="1"/>
  <c r="C26" i="1"/>
  <c r="D26" i="1"/>
  <c r="E26" i="1"/>
  <c r="F26" i="1"/>
  <c r="G26" i="1"/>
  <c r="H26" i="1"/>
  <c r="I26" i="1"/>
  <c r="C27" i="1"/>
  <c r="I27" i="1" s="1"/>
  <c r="D27" i="1"/>
  <c r="E27" i="1"/>
  <c r="F27" i="1"/>
  <c r="G27" i="1"/>
  <c r="H27" i="1"/>
  <c r="C28" i="1"/>
  <c r="I28" i="1" s="1"/>
  <c r="D28" i="1"/>
  <c r="E28" i="1"/>
  <c r="F28" i="1"/>
  <c r="G28" i="1"/>
  <c r="H28" i="1"/>
  <c r="C29" i="1"/>
  <c r="D29" i="1"/>
  <c r="E29" i="1"/>
  <c r="F29" i="1"/>
  <c r="G29" i="1"/>
  <c r="H29" i="1"/>
  <c r="I29" i="1"/>
  <c r="C30" i="1"/>
  <c r="I30" i="1" s="1"/>
  <c r="D30" i="1"/>
  <c r="E30" i="1"/>
  <c r="F30" i="1"/>
  <c r="G30" i="1"/>
  <c r="H30" i="1"/>
  <c r="C31" i="1"/>
  <c r="D31" i="1"/>
  <c r="E31" i="1"/>
  <c r="F31" i="1"/>
  <c r="G31" i="1"/>
  <c r="H31" i="1"/>
  <c r="I31" i="1"/>
  <c r="C32" i="1"/>
  <c r="I32" i="1" s="1"/>
  <c r="D32" i="1"/>
  <c r="E32" i="1"/>
  <c r="F32" i="1"/>
  <c r="G32" i="1"/>
  <c r="H32" i="1"/>
  <c r="C33" i="1"/>
  <c r="D33" i="1"/>
  <c r="E33" i="1"/>
  <c r="F33" i="1"/>
  <c r="G33" i="1"/>
  <c r="H33" i="1"/>
  <c r="I33" i="1"/>
  <c r="C34" i="1"/>
  <c r="D34" i="1"/>
  <c r="E34" i="1"/>
  <c r="F34" i="1"/>
  <c r="G34" i="1"/>
  <c r="H34" i="1"/>
  <c r="I34" i="1"/>
  <c r="C35" i="1"/>
  <c r="I35" i="1" s="1"/>
  <c r="D35" i="1"/>
  <c r="E35" i="1"/>
  <c r="F35" i="1"/>
  <c r="G35" i="1"/>
  <c r="H35" i="1"/>
  <c r="C36" i="1"/>
  <c r="D36" i="1"/>
  <c r="E36" i="1"/>
  <c r="F36" i="1"/>
  <c r="G36" i="1"/>
  <c r="H36" i="1"/>
  <c r="I36" i="1"/>
  <c r="C37" i="1"/>
  <c r="I37" i="1" s="1"/>
  <c r="D37" i="1"/>
  <c r="E37" i="1"/>
  <c r="F37" i="1"/>
  <c r="G37" i="1"/>
  <c r="H37" i="1"/>
  <c r="C38" i="1"/>
  <c r="D38" i="1"/>
  <c r="E38" i="1"/>
  <c r="F38" i="1"/>
  <c r="G38" i="1"/>
  <c r="H38" i="1"/>
  <c r="I38" i="1"/>
  <c r="C39" i="1"/>
  <c r="I39" i="1" s="1"/>
  <c r="D39" i="1"/>
  <c r="E39" i="1"/>
  <c r="F39" i="1"/>
  <c r="G39" i="1"/>
  <c r="H39" i="1"/>
  <c r="C40" i="1"/>
  <c r="I40" i="1" s="1"/>
  <c r="D40" i="1"/>
  <c r="E40" i="1"/>
  <c r="F40" i="1"/>
  <c r="G40" i="1"/>
  <c r="H40" i="1"/>
  <c r="C41" i="1"/>
  <c r="D41" i="1"/>
  <c r="E41" i="1"/>
  <c r="F41" i="1"/>
  <c r="G41" i="1"/>
  <c r="H41" i="1"/>
  <c r="I41" i="1"/>
  <c r="C42" i="1"/>
  <c r="I42" i="1" s="1"/>
  <c r="D42" i="1"/>
  <c r="E42" i="1"/>
  <c r="F42" i="1"/>
  <c r="G42" i="1"/>
  <c r="H42" i="1"/>
  <c r="C43" i="1"/>
  <c r="D43" i="1"/>
  <c r="E43" i="1"/>
  <c r="F43" i="1"/>
  <c r="G43" i="1"/>
  <c r="H43" i="1"/>
  <c r="I43" i="1"/>
  <c r="C44" i="1"/>
  <c r="I44" i="1" s="1"/>
  <c r="D44" i="1"/>
  <c r="E44" i="1"/>
  <c r="F44" i="1"/>
  <c r="G44" i="1"/>
  <c r="H44" i="1"/>
  <c r="C45" i="1"/>
  <c r="D45" i="1"/>
  <c r="E45" i="1"/>
  <c r="F45" i="1"/>
  <c r="G45" i="1"/>
  <c r="H45" i="1"/>
  <c r="I45" i="1"/>
  <c r="C46" i="1"/>
  <c r="D46" i="1"/>
  <c r="E46" i="1"/>
  <c r="F46" i="1"/>
  <c r="G46" i="1"/>
  <c r="H46" i="1"/>
  <c r="I46" i="1"/>
  <c r="C47" i="1"/>
  <c r="I47" i="1" s="1"/>
  <c r="D47" i="1"/>
  <c r="E47" i="1"/>
  <c r="F47" i="1"/>
  <c r="G47" i="1"/>
  <c r="H47" i="1"/>
  <c r="C48" i="1"/>
  <c r="D48" i="1"/>
  <c r="E48" i="1"/>
  <c r="F48" i="1"/>
  <c r="G48" i="1"/>
  <c r="H48" i="1"/>
  <c r="I48" i="1"/>
  <c r="C49" i="1"/>
  <c r="I49" i="1" s="1"/>
  <c r="D49" i="1"/>
  <c r="E49" i="1"/>
  <c r="F49" i="1"/>
  <c r="G49" i="1"/>
  <c r="H49" i="1"/>
  <c r="C50" i="1"/>
  <c r="D50" i="1"/>
  <c r="E50" i="1"/>
  <c r="F50" i="1"/>
  <c r="G50" i="1"/>
  <c r="H50" i="1"/>
  <c r="I50" i="1"/>
  <c r="C51" i="1"/>
  <c r="I51" i="1" s="1"/>
  <c r="D51" i="1"/>
  <c r="E51" i="1"/>
  <c r="F51" i="1"/>
  <c r="G51" i="1"/>
  <c r="H51" i="1"/>
  <c r="C52" i="1"/>
  <c r="I52" i="1" s="1"/>
  <c r="D52" i="1"/>
  <c r="E52" i="1"/>
  <c r="F52" i="1"/>
  <c r="G52" i="1"/>
  <c r="H52" i="1"/>
  <c r="C53" i="1"/>
  <c r="D53" i="1"/>
  <c r="E53" i="1"/>
  <c r="F53" i="1"/>
  <c r="G53" i="1"/>
  <c r="H53" i="1"/>
  <c r="I53" i="1"/>
  <c r="C54" i="1"/>
  <c r="I54" i="1" s="1"/>
  <c r="D54" i="1"/>
  <c r="E54" i="1"/>
  <c r="F54" i="1"/>
  <c r="G54" i="1"/>
  <c r="H54" i="1"/>
  <c r="C55" i="1"/>
  <c r="D55" i="1"/>
  <c r="E55" i="1"/>
  <c r="F55" i="1"/>
  <c r="G55" i="1"/>
  <c r="H55" i="1"/>
  <c r="I55" i="1"/>
  <c r="C56" i="1"/>
  <c r="I56" i="1" s="1"/>
  <c r="D56" i="1"/>
  <c r="E56" i="1"/>
  <c r="F56" i="1"/>
  <c r="G56" i="1"/>
  <c r="H56" i="1"/>
  <c r="C57" i="1"/>
  <c r="D57" i="1"/>
  <c r="E57" i="1"/>
  <c r="F57" i="1"/>
  <c r="G57" i="1"/>
  <c r="H57" i="1"/>
  <c r="I57" i="1"/>
  <c r="L6" i="1" l="1"/>
  <c r="N4" i="1"/>
  <c r="I6" i="1"/>
  <c r="L5" i="1"/>
  <c r="M4" i="1"/>
  <c r="L4" i="1"/>
  <c r="I2" i="1"/>
  <c r="O6" i="1"/>
  <c r="L11" i="1" l="1"/>
  <c r="M11" i="1"/>
  <c r="L12" i="1"/>
  <c r="M12" i="1"/>
  <c r="R6" i="1"/>
  <c r="M13" i="1" l="1"/>
  <c r="L13" i="1"/>
</calcChain>
</file>

<file path=xl/sharedStrings.xml><?xml version="1.0" encoding="utf-8"?>
<sst xmlns="http://schemas.openxmlformats.org/spreadsheetml/2006/main" count="139" uniqueCount="76">
  <si>
    <t>AA</t>
  </si>
  <si>
    <t>4.1.3 Status Messages (Added in 2.1)</t>
  </si>
  <si>
    <t>A</t>
  </si>
  <si>
    <t>4.1.2 Name, Role, Value</t>
  </si>
  <si>
    <t>4.1.1 Parsing (Removed in 2.2)</t>
  </si>
  <si>
    <t>3.3.8 Accessible Authentication (Minimum) (Added in 2.2)</t>
  </si>
  <si>
    <t>3.3.7 Redundant Entry (Added in 2.2)</t>
  </si>
  <si>
    <t>3.3.4 Error Prevention (Legal, Financial, Data)</t>
  </si>
  <si>
    <t>3.3.3 Error Suggestion</t>
  </si>
  <si>
    <t>3.3.2 Labels or Instructions</t>
  </si>
  <si>
    <t>3.3.1 Error Identification</t>
  </si>
  <si>
    <t>3.2.6 Consistent Help (Added in 2.2)</t>
  </si>
  <si>
    <t>3.2.4 Consistent Identification</t>
  </si>
  <si>
    <t>3.2.3 Consistent Navigation</t>
  </si>
  <si>
    <t>3.2.2 On Input</t>
  </si>
  <si>
    <t>3.2.1 On Focus</t>
  </si>
  <si>
    <t>3.1.2 Language of Parts</t>
  </si>
  <si>
    <t>3.1.1 Language of Page</t>
  </si>
  <si>
    <t>2.5.8 Target Size (Minimum) (Added in 2.2)</t>
  </si>
  <si>
    <t>2.5.7 Dragging Movements (Added in 2.2)</t>
  </si>
  <si>
    <t>2.5.4 Motion Actuation (Added in 2.1)</t>
  </si>
  <si>
    <t>2.5.3 Label in Name (Added in 2.1)</t>
  </si>
  <si>
    <t>2.5.2 Pointer Cancellation (Added in 2.1)</t>
  </si>
  <si>
    <t>2.5.1 Pointer Gestures (Added in 2.1)</t>
  </si>
  <si>
    <t>2.4.11 Focus Not Obscured (Minimum) (Added in 2.2)</t>
  </si>
  <si>
    <t>2.4.7 Focus Visible</t>
  </si>
  <si>
    <t>2.4.6 Headings and Labels</t>
  </si>
  <si>
    <t>2.4.5 Multiple Ways</t>
  </si>
  <si>
    <t>2.4.4 Link Purpose (In Context)</t>
  </si>
  <si>
    <t>2.4.3 Focus Order</t>
  </si>
  <si>
    <t>2.4.2 Page Titled</t>
  </si>
  <si>
    <t>2.4.1 Bypass Blocks</t>
  </si>
  <si>
    <t>2.3.1 Three Flashes or Below Threshold</t>
  </si>
  <si>
    <t>2.2.2 Pause, Stop, Hide</t>
  </si>
  <si>
    <t>2.2.1 Timing Adjustable</t>
  </si>
  <si>
    <t>2.1.4 Character Key Shortcuts (Added in 2.1)</t>
  </si>
  <si>
    <t>2.1.2 No Keyboard Trap</t>
  </si>
  <si>
    <t>2.1.1 Keyboard</t>
  </si>
  <si>
    <t>1.4.13 Content on Hover or Focus (Added in 2.1)</t>
  </si>
  <si>
    <t>1.4.12 Text Spacing (Added in 2.1)</t>
  </si>
  <si>
    <t>1.4.11 Non-text Contrast (Added in 2.1)</t>
  </si>
  <si>
    <t>1.4.10 Reflow (Added in 2.1)</t>
  </si>
  <si>
    <t>1.4.5 Images of Text</t>
  </si>
  <si>
    <t>1.4.4 Resize text</t>
  </si>
  <si>
    <t>1.4.3 Contrast (Minimum)</t>
  </si>
  <si>
    <t>1.4.2 Audio Control</t>
  </si>
  <si>
    <t>Total:</t>
  </si>
  <si>
    <t>1.4.1 Use of Color</t>
  </si>
  <si>
    <t>Level AA:</t>
  </si>
  <si>
    <t>1.3.5 Identify Input Purpose (Added in 2.1)</t>
  </si>
  <si>
    <t>Level A:</t>
  </si>
  <si>
    <t>1.3.4 Orientation (Added in 2.1)</t>
  </si>
  <si>
    <t>Total</t>
  </si>
  <si>
    <t>Failed</t>
  </si>
  <si>
    <t>Passed</t>
  </si>
  <si>
    <t>1.3.3 Sensory Characteristics</t>
  </si>
  <si>
    <t>Breakdown by Criteria</t>
  </si>
  <si>
    <t>1.3.2 Meaningful Sequence</t>
  </si>
  <si>
    <t>1.3.1 Info and Relationships</t>
  </si>
  <si>
    <t>1.2.5 Audio Description (Prerecorded)</t>
  </si>
  <si>
    <t>1.2.4 Captions (Live)</t>
  </si>
  <si>
    <t>Total Issues</t>
  </si>
  <si>
    <t>1.2.3 Audio Description or Media Alternative (Prerecorded)</t>
  </si>
  <si>
    <t>1.2.2 Captions (Prerecorded)</t>
  </si>
  <si>
    <t>Info</t>
  </si>
  <si>
    <t>Low</t>
  </si>
  <si>
    <t>Minor</t>
  </si>
  <si>
    <t>Major</t>
  </si>
  <si>
    <t>Critical</t>
  </si>
  <si>
    <t>Blocking</t>
  </si>
  <si>
    <t>1.2.1 Audio-only and Video-only (Prerecorded)</t>
  </si>
  <si>
    <t>Breakdown Issues by Severity</t>
  </si>
  <si>
    <t>1.1.1 Non-text Content</t>
  </si>
  <si>
    <t>Pass/Fail</t>
  </si>
  <si>
    <t>Level</t>
  </si>
  <si>
    <t>WCAG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</si>
</sst>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FF9F9F"/>
        <bgColor indexed="64"/>
      </patternFill>
    </fill>
    <fill>
      <patternFill patternType="solid">
        <fgColor rgb="FFDFC9EF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8CFB6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 applyAlignment="1">
      <alignment horizontal="right"/>
    </xf>
    <xf numFmtId="0" fontId="3" fillId="5" borderId="1" xfId="4" applyFont="1" applyBorder="1" applyAlignment="1">
      <alignment horizontal="center"/>
    </xf>
    <xf numFmtId="0" fontId="5" fillId="8" borderId="1" xfId="2" applyFont="1" applyFill="1" applyBorder="1" applyAlignment="1">
      <alignment horizontal="center"/>
    </xf>
    <xf numFmtId="0" fontId="5" fillId="2" borderId="1" xfId="1" applyFont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4" applyFont="1" applyFill="1" applyBorder="1" applyAlignment="1">
      <alignment horizontal="center"/>
    </xf>
    <xf numFmtId="0" fontId="3" fillId="11" borderId="1" xfId="6" applyFont="1" applyFill="1" applyBorder="1" applyAlignment="1">
      <alignment horizontal="center"/>
    </xf>
    <xf numFmtId="0" fontId="3" fillId="12" borderId="1" xfId="5" applyFont="1" applyFill="1" applyBorder="1" applyAlignment="1">
      <alignment horizontal="center"/>
    </xf>
    <xf numFmtId="0" fontId="3" fillId="13" borderId="1" xfId="3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4" borderId="0" xfId="0" applyFont="1" applyFill="1" applyAlignment="1">
      <alignment horizontal="center"/>
    </xf>
  </cellXfs>
  <cellStyles count="7">
    <cellStyle name="40% - Accent3" xfId="4" builtinId="39"/>
    <cellStyle name="40% - Accent4" xfId="5" builtinId="43"/>
    <cellStyle name="40% - Accent5" xfId="6" builtinId="47"/>
    <cellStyle name="60% - Accent2" xfId="3" builtinId="36"/>
    <cellStyle name="Bad" xfId="2" builtinId="27"/>
    <cellStyle name="Good" xfId="1" builtinId="26"/>
    <cellStyle name="Normal" xfId="0" builtinId="0"/>
  </cellStyles>
  <dxfs count="10">
    <dxf>
      <font>
        <b/>
        <i val="0"/>
      </font>
      <fill>
        <patternFill>
          <bgColor rgb="FFFFDDDD"/>
        </patternFill>
      </fill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b/>
        <i val="0"/>
        <color auto="1"/>
      </font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E699"/>
        </patternFill>
      </fill>
    </dxf>
    <dxf>
      <font>
        <b/>
        <i val="0"/>
      </font>
      <fill>
        <patternFill>
          <bgColor rgb="FFF8CFB6"/>
        </patternFill>
      </fill>
    </dxf>
    <dxf>
      <font>
        <b/>
        <i val="0"/>
        <color auto="1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dharod/Desktop/Platform/Unified%20Portal/Accessibiliy-Findings.xlsx" TargetMode="External"/><Relationship Id="rId1" Type="http://schemas.openxmlformats.org/officeDocument/2006/relationships/externalLinkPath" Target="Accessibiliy-Finding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dharod/Desktop/Platform/Unified%20Portal/Accessibility%20Audit%20Report%20WCAG%202.2%20-%20Equinix%202024.11.08.xlsm" TargetMode="External"/><Relationship Id="rId1" Type="http://schemas.openxmlformats.org/officeDocument/2006/relationships/externalLinkPath" Target="Accessibility%20Audit%20Report%20WCAG%202.2%20-%20Equinix%202024.11.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dings"/>
    </sheetNames>
    <sheetDataSet>
      <sheetData sheetId="0">
        <row r="2">
          <cell r="B2" t="str">
            <v>1.4.11 Non-text Contrast (Added in 2.1)</v>
          </cell>
          <cell r="H2" t="str">
            <v>Minor</v>
          </cell>
        </row>
        <row r="3">
          <cell r="B3" t="str">
            <v>2.1.1 Keyboard</v>
          </cell>
          <cell r="H3" t="str">
            <v>Minor</v>
          </cell>
        </row>
        <row r="4">
          <cell r="B4" t="str">
            <v>3.1.1 Language of Page</v>
          </cell>
          <cell r="H4" t="str">
            <v>Critical</v>
          </cell>
        </row>
        <row r="5">
          <cell r="B5" t="str">
            <v>3.3.2 Labels or Instructions</v>
          </cell>
          <cell r="H5" t="str">
            <v>Major</v>
          </cell>
        </row>
        <row r="6">
          <cell r="B6" t="str">
            <v>4.1.3 Status Messages (Added in 2.1)</v>
          </cell>
          <cell r="H6" t="str">
            <v>Major</v>
          </cell>
        </row>
        <row r="7">
          <cell r="B7" t="str">
            <v>1.1.1 Non-text Content</v>
          </cell>
          <cell r="H7" t="str">
            <v>Major</v>
          </cell>
        </row>
        <row r="8">
          <cell r="B8" t="str">
            <v>2.4.3 Focus Order</v>
          </cell>
          <cell r="H8" t="str">
            <v>Minor</v>
          </cell>
        </row>
        <row r="9">
          <cell r="B9" t="str">
            <v>4.1.2 Name, Role, Value</v>
          </cell>
          <cell r="H9" t="str">
            <v>Major</v>
          </cell>
        </row>
        <row r="10">
          <cell r="B10" t="str">
            <v>2.4.7 Focus Visible</v>
          </cell>
          <cell r="H10" t="str">
            <v>Minor</v>
          </cell>
        </row>
        <row r="11">
          <cell r="B11" t="str">
            <v>1.4.10 Reflow (Added in 2.1)</v>
          </cell>
          <cell r="H11" t="str">
            <v>Minor</v>
          </cell>
        </row>
        <row r="12">
          <cell r="B12" t="str">
            <v>1.4.3 Contrast (Minimum)</v>
          </cell>
          <cell r="H12" t="str">
            <v>Minor</v>
          </cell>
        </row>
        <row r="13">
          <cell r="B13" t="str">
            <v>1.4.11 Non-text Contrast (Added in 2.1)</v>
          </cell>
          <cell r="H13" t="str">
            <v>Minor</v>
          </cell>
        </row>
        <row r="14">
          <cell r="B14" t="str">
            <v>1.3.1 Info and Relationships</v>
          </cell>
          <cell r="H14" t="str">
            <v>Low</v>
          </cell>
        </row>
        <row r="15">
          <cell r="B15" t="str">
            <v>1.3.1 Info and Relationships</v>
          </cell>
          <cell r="H15" t="str">
            <v>Low</v>
          </cell>
        </row>
        <row r="16">
          <cell r="B16" t="str">
            <v>1.4.12 Text Spacing (Added in 2.1)</v>
          </cell>
          <cell r="H16" t="str">
            <v>Critical</v>
          </cell>
        </row>
        <row r="17">
          <cell r="B17" t="str">
            <v>2.1.1 Keyboard</v>
          </cell>
          <cell r="H17" t="str">
            <v>Blocking</v>
          </cell>
        </row>
        <row r="18">
          <cell r="B18" t="str">
            <v>2.4.2 Page Titled</v>
          </cell>
        </row>
        <row r="19">
          <cell r="B19" t="str">
            <v>2.4.1 Bypass Blocks</v>
          </cell>
        </row>
        <row r="20">
          <cell r="B20" t="str">
            <v>2.4.7 Focus Visible</v>
          </cell>
          <cell r="H20" t="str">
            <v>Low</v>
          </cell>
        </row>
        <row r="21">
          <cell r="B21" t="str">
            <v>1.4.5 Images of Text</v>
          </cell>
          <cell r="H21" t="str">
            <v>Low</v>
          </cell>
        </row>
        <row r="22">
          <cell r="B22" t="str">
            <v>1.3.1 Info and Relationships</v>
          </cell>
        </row>
        <row r="23">
          <cell r="B23" t="str">
            <v>2.4.7 Focus Visible</v>
          </cell>
        </row>
        <row r="24">
          <cell r="B24" t="str">
            <v>1.4.11 Non-text Contrast (Added in 2.1)</v>
          </cell>
        </row>
        <row r="25">
          <cell r="B25" t="str">
            <v>1.4.11 Non-text Contrast (Added in 2.1)</v>
          </cell>
        </row>
        <row r="26">
          <cell r="B26" t="str">
            <v>2.1.1 Keyboard</v>
          </cell>
          <cell r="H26" t="str">
            <v>Blocking</v>
          </cell>
        </row>
        <row r="27">
          <cell r="B27" t="str">
            <v>4.1.2 Name, Role, Value</v>
          </cell>
          <cell r="H27" t="str">
            <v>Major</v>
          </cell>
        </row>
        <row r="28">
          <cell r="B28" t="str">
            <v>1.3.2 Meaningful Sequence</v>
          </cell>
          <cell r="H28" t="str">
            <v>Low</v>
          </cell>
        </row>
        <row r="29">
          <cell r="B29" t="str">
            <v>1.4.12 Text Spacing (Added in 2.1)</v>
          </cell>
          <cell r="H29" t="str">
            <v>Minor</v>
          </cell>
        </row>
        <row r="30">
          <cell r="B30" t="str">
            <v>2.4.3 Focus Order</v>
          </cell>
        </row>
        <row r="31">
          <cell r="B31" t="str">
            <v>3.1.2 Language of Parts</v>
          </cell>
          <cell r="H31" t="str">
            <v>Critical</v>
          </cell>
        </row>
        <row r="32">
          <cell r="B32" t="str">
            <v>1.4.1 Use of Color</v>
          </cell>
        </row>
        <row r="33">
          <cell r="B33" t="str">
            <v>1.4.10 Reflow (Added in 2.1)</v>
          </cell>
          <cell r="H33" t="str">
            <v>Blocking</v>
          </cell>
        </row>
        <row r="34">
          <cell r="B34" t="str">
            <v>1.1.1 Non-text Content</v>
          </cell>
        </row>
        <row r="35">
          <cell r="B35" t="str">
            <v>1.3.1 Info and Relationships</v>
          </cell>
          <cell r="H35" t="str">
            <v>Major</v>
          </cell>
        </row>
        <row r="36">
          <cell r="B36" t="str">
            <v>1.3.5 Identify Input Purpose (Added in 2.1)</v>
          </cell>
          <cell r="H36" t="str">
            <v>Low</v>
          </cell>
        </row>
        <row r="37">
          <cell r="B37" t="str">
            <v>1.4.11 Non-text Contrast (Added in 2.1)</v>
          </cell>
          <cell r="H37" t="str">
            <v>Major</v>
          </cell>
        </row>
        <row r="38">
          <cell r="B38" t="str">
            <v>2.1.1 Keyboard</v>
          </cell>
          <cell r="H38" t="str">
            <v>Critical</v>
          </cell>
        </row>
        <row r="39">
          <cell r="B39" t="str">
            <v>2.5.8 Target Size (Minimum) (Added in 2.2)</v>
          </cell>
          <cell r="H39" t="str">
            <v>Low</v>
          </cell>
        </row>
        <row r="40">
          <cell r="B40" t="str">
            <v>4.1.3 Status Messages (Added in 2.1)</v>
          </cell>
          <cell r="H40" t="str">
            <v>Minor</v>
          </cell>
        </row>
        <row r="41">
          <cell r="B41" t="str">
            <v>1.3.1 Info and Relationships</v>
          </cell>
          <cell r="H41" t="str">
            <v>Minor</v>
          </cell>
        </row>
        <row r="42">
          <cell r="B42" t="str">
            <v>1.4.3 Contrast (Minimum)</v>
          </cell>
          <cell r="H42" t="str">
            <v>Low</v>
          </cell>
        </row>
        <row r="43">
          <cell r="B43" t="str">
            <v>2.5.3 Label in Name (Added in 2.1)</v>
          </cell>
        </row>
        <row r="44">
          <cell r="B44" t="str">
            <v>2.1.1 Keyboard</v>
          </cell>
        </row>
        <row r="45">
          <cell r="B45" t="str">
            <v>3.3.3 Error Suggestion</v>
          </cell>
        </row>
        <row r="46">
          <cell r="B46" t="str">
            <v>4.1.3 Status Messages (Added in 2.1)</v>
          </cell>
        </row>
        <row r="47">
          <cell r="B47" t="str">
            <v>1.3.1 Info and Relationships</v>
          </cell>
        </row>
        <row r="48">
          <cell r="B48" t="str">
            <v>1.1.1 Non-text Content</v>
          </cell>
        </row>
        <row r="49">
          <cell r="B49" t="str">
            <v>3.1.2 Language of Parts</v>
          </cell>
          <cell r="H49" t="str">
            <v>Major</v>
          </cell>
        </row>
        <row r="50">
          <cell r="B50" t="str">
            <v>4.1.3 Status Messages (Added in 2.1)</v>
          </cell>
          <cell r="H50" t="str">
            <v>Minor</v>
          </cell>
        </row>
        <row r="51">
          <cell r="B51" t="str">
            <v>1.4.10 Reflow (Added in 2.1)</v>
          </cell>
          <cell r="H51" t="str">
            <v>Blocking</v>
          </cell>
        </row>
        <row r="52">
          <cell r="B52" t="str">
            <v>2.1.1 Keyboard</v>
          </cell>
          <cell r="H52" t="str">
            <v>Blocking</v>
          </cell>
        </row>
        <row r="53">
          <cell r="B53" t="str">
            <v>2.4.3 Focus Order</v>
          </cell>
          <cell r="H53" t="str">
            <v>Minor</v>
          </cell>
        </row>
        <row r="54">
          <cell r="B54" t="str">
            <v>2.4.11 Focus Not Obscured (Minimum) (Added in 2.2)</v>
          </cell>
          <cell r="H54" t="str">
            <v>Low</v>
          </cell>
        </row>
        <row r="55">
          <cell r="B55" t="str">
            <v>1.3.1 Info and Relationships</v>
          </cell>
          <cell r="H55" t="str">
            <v>Minor</v>
          </cell>
        </row>
        <row r="56">
          <cell r="B56" t="str">
            <v>2.5.3 Label in Name (Added in 2.1)</v>
          </cell>
          <cell r="H56" t="str">
            <v>Minor</v>
          </cell>
        </row>
        <row r="57">
          <cell r="B57" t="str">
            <v>4.1.2 Name, Role, Value</v>
          </cell>
          <cell r="H57" t="str">
            <v>Minor</v>
          </cell>
        </row>
        <row r="58">
          <cell r="B58" t="str">
            <v>1.3.1 Info and Relationships</v>
          </cell>
          <cell r="H58" t="str">
            <v>Minor</v>
          </cell>
        </row>
        <row r="59">
          <cell r="B59" t="str">
            <v>1.3.1 Info and Relationships</v>
          </cell>
          <cell r="H59" t="str">
            <v>Major</v>
          </cell>
        </row>
        <row r="60">
          <cell r="B60" t="str">
            <v>1.3.1 Info and Relationships</v>
          </cell>
          <cell r="H60" t="str">
            <v>Minor</v>
          </cell>
        </row>
        <row r="61">
          <cell r="B61" t="str">
            <v>1.4.3 Contrast (Minimum)</v>
          </cell>
          <cell r="H61" t="str">
            <v>Minor</v>
          </cell>
        </row>
        <row r="62">
          <cell r="B62" t="str">
            <v>1.4.10 Reflow (Added in 2.1)</v>
          </cell>
          <cell r="H62" t="str">
            <v>Critical</v>
          </cell>
        </row>
        <row r="63">
          <cell r="B63" t="str">
            <v>2.1.1 Keyboard</v>
          </cell>
          <cell r="H63" t="str">
            <v>Minor</v>
          </cell>
        </row>
        <row r="64">
          <cell r="B64" t="str">
            <v>2.5.3 Label in Name (Added in 2.1)</v>
          </cell>
          <cell r="H64" t="str">
            <v>Minor</v>
          </cell>
        </row>
        <row r="65">
          <cell r="B65" t="str">
            <v>2.5.8 Target Size (Minimum) (Added in 2.2)</v>
          </cell>
          <cell r="H65" t="str">
            <v>Low</v>
          </cell>
        </row>
        <row r="66">
          <cell r="B66" t="str">
            <v>3.1.2 Language of Parts</v>
          </cell>
          <cell r="H66" t="str">
            <v>Low</v>
          </cell>
        </row>
        <row r="67">
          <cell r="B67" t="str">
            <v>3.3.2 Labels or Instructions</v>
          </cell>
          <cell r="H67" t="str">
            <v>Major</v>
          </cell>
        </row>
        <row r="68">
          <cell r="B68" t="str">
            <v>2.4.11 Focus Not Obscured (Minimum) (Added in 2.2)</v>
          </cell>
          <cell r="H68" t="str">
            <v>Low</v>
          </cell>
        </row>
        <row r="69">
          <cell r="B69" t="str">
            <v>2.4.7 Focus Visible</v>
          </cell>
          <cell r="H69" t="str">
            <v>Minor</v>
          </cell>
        </row>
        <row r="70">
          <cell r="B70" t="str">
            <v>4.1.3 Status Messages (Added in 2.1)</v>
          </cell>
          <cell r="H70" t="str">
            <v>Major</v>
          </cell>
        </row>
        <row r="71">
          <cell r="B71" t="str">
            <v>1.3.1 Info and Relationships</v>
          </cell>
          <cell r="H71" t="str">
            <v>Minor</v>
          </cell>
        </row>
        <row r="72">
          <cell r="B72" t="str">
            <v>1.3.1 Info and Relationships</v>
          </cell>
          <cell r="H72" t="str">
            <v>Minor</v>
          </cell>
        </row>
        <row r="73">
          <cell r="B73" t="str">
            <v>1.4.4 Resize text</v>
          </cell>
          <cell r="H73" t="str">
            <v>Blocking</v>
          </cell>
        </row>
        <row r="74">
          <cell r="B74" t="str">
            <v>2.4.3 Focus Order</v>
          </cell>
          <cell r="H74" t="str">
            <v>Minor</v>
          </cell>
        </row>
        <row r="75">
          <cell r="B75" t="str">
            <v>1.4.12 Text Spacing (Added in 2.1)</v>
          </cell>
          <cell r="H75" t="str">
            <v>Critical</v>
          </cell>
        </row>
        <row r="76">
          <cell r="B76" t="str">
            <v>1.4.10 Reflow (Added in 2.1)</v>
          </cell>
          <cell r="H76" t="str">
            <v>Critical</v>
          </cell>
        </row>
        <row r="77">
          <cell r="B77" t="str">
            <v>2.1.1 Keyboard</v>
          </cell>
          <cell r="H77" t="str">
            <v>Critical</v>
          </cell>
        </row>
        <row r="78">
          <cell r="B78" t="str">
            <v>1.3.1 Info and Relationships</v>
          </cell>
          <cell r="H78" t="str">
            <v>Low</v>
          </cell>
        </row>
        <row r="79">
          <cell r="B79" t="str">
            <v>1.3.1 Info and Relationships</v>
          </cell>
          <cell r="H79" t="str">
            <v>Blocking</v>
          </cell>
        </row>
        <row r="80">
          <cell r="B80" t="str">
            <v>1.3.5 Identify Input Purpose (Added in 2.1)</v>
          </cell>
          <cell r="H80" t="str">
            <v>Low</v>
          </cell>
        </row>
        <row r="81">
          <cell r="B81" t="str">
            <v>1.4.10 Reflow (Added in 2.1)</v>
          </cell>
          <cell r="H81" t="str">
            <v>Major</v>
          </cell>
        </row>
        <row r="82">
          <cell r="B82" t="str">
            <v>1.4.11 Non-text Contrast (Added in 2.1)</v>
          </cell>
          <cell r="H82" t="str">
            <v>Minor</v>
          </cell>
        </row>
        <row r="83">
          <cell r="B83" t="str">
            <v>1.4.12 Text Spacing (Added in 2.1)</v>
          </cell>
          <cell r="H83" t="str">
            <v>Critical</v>
          </cell>
        </row>
        <row r="84">
          <cell r="B84" t="str">
            <v>2.4.3 Focus Order</v>
          </cell>
          <cell r="H84" t="str">
            <v>Low</v>
          </cell>
        </row>
        <row r="85">
          <cell r="B85" t="str">
            <v>2.4.11 Focus Not Obscured (Minimum) (Added in 2.2)</v>
          </cell>
          <cell r="H85" t="str">
            <v>Low</v>
          </cell>
        </row>
        <row r="86">
          <cell r="B86" t="str">
            <v>2.4.5 Multiple Ways</v>
          </cell>
          <cell r="H86" t="str">
            <v>Low</v>
          </cell>
        </row>
        <row r="87">
          <cell r="B87" t="str">
            <v>2.5.3 Label in Name (Added in 2.1)</v>
          </cell>
          <cell r="H87" t="str">
            <v>Major</v>
          </cell>
        </row>
        <row r="88">
          <cell r="B88" t="str">
            <v>2.5.8 Target Size (Minimum) (Added in 2.2)</v>
          </cell>
          <cell r="H88" t="str">
            <v>Low</v>
          </cell>
        </row>
        <row r="89">
          <cell r="B89" t="str">
            <v>4.1.3 Status Messages (Added in 2.1)</v>
          </cell>
          <cell r="H89" t="str">
            <v>Major</v>
          </cell>
        </row>
        <row r="90">
          <cell r="B90" t="str">
            <v>2.1.1 Keyboard</v>
          </cell>
          <cell r="H90" t="str">
            <v>Critical</v>
          </cell>
        </row>
        <row r="91">
          <cell r="B91" t="str">
            <v>2.1.1 Keyboard</v>
          </cell>
          <cell r="H91" t="str">
            <v>Critical</v>
          </cell>
        </row>
        <row r="92">
          <cell r="B92" t="str">
            <v>2.1.2 No Keyboard Trap</v>
          </cell>
          <cell r="H92" t="str">
            <v>Critical</v>
          </cell>
        </row>
        <row r="93">
          <cell r="B93" t="str">
            <v>3.3.1 Error Identification</v>
          </cell>
          <cell r="H93" t="str">
            <v>Major</v>
          </cell>
        </row>
        <row r="94">
          <cell r="B94" t="str">
            <v>3.2.3 Consistent Navigation</v>
          </cell>
          <cell r="H94" t="str">
            <v>Low</v>
          </cell>
        </row>
        <row r="95">
          <cell r="B95" t="str">
            <v>1.3.1 Info and Relationships</v>
          </cell>
          <cell r="H95" t="str">
            <v>Major</v>
          </cell>
        </row>
        <row r="96">
          <cell r="B96" t="str">
            <v>2.5.3 Label in Name (Added in 2.1)</v>
          </cell>
          <cell r="H96" t="str">
            <v>Major</v>
          </cell>
        </row>
        <row r="97">
          <cell r="B97" t="str">
            <v>2.2.1 Timing Adjustable</v>
          </cell>
          <cell r="H97" t="str">
            <v>Low</v>
          </cell>
        </row>
        <row r="98">
          <cell r="B98" t="str">
            <v>1.4.10 Reflow (Added in 2.1)</v>
          </cell>
          <cell r="H98" t="str">
            <v>Major</v>
          </cell>
        </row>
        <row r="99">
          <cell r="B99" t="str">
            <v>1.4.3 Contrast (Minimum)</v>
          </cell>
          <cell r="H99" t="str">
            <v>Minor</v>
          </cell>
        </row>
        <row r="100">
          <cell r="B100" t="str">
            <v>1.4.12 Text Spacing (Added in 2.1)</v>
          </cell>
          <cell r="H100" t="str">
            <v>Minor</v>
          </cell>
        </row>
        <row r="101">
          <cell r="B101" t="str">
            <v>2.4.7 Focus Visible</v>
          </cell>
          <cell r="H101" t="str">
            <v>Low</v>
          </cell>
        </row>
        <row r="102">
          <cell r="B102" t="str">
            <v>3.2.3 Consistent Navigation</v>
          </cell>
          <cell r="H102" t="str">
            <v>Minor</v>
          </cell>
        </row>
        <row r="103">
          <cell r="B103" t="str">
            <v>2.4.3 Focus Order</v>
          </cell>
          <cell r="H103" t="str">
            <v>Major</v>
          </cell>
        </row>
        <row r="104">
          <cell r="B104" t="str">
            <v>2.1.1 Keyboard</v>
          </cell>
          <cell r="H104" t="str">
            <v>Critical</v>
          </cell>
        </row>
        <row r="105">
          <cell r="B105" t="str">
            <v>2.1.2 No Keyboard Trap</v>
          </cell>
          <cell r="H105" t="str">
            <v>Critical</v>
          </cell>
        </row>
        <row r="106">
          <cell r="B106" t="str">
            <v>2.1.1 Keyboard</v>
          </cell>
          <cell r="H106" t="str">
            <v>Blocking</v>
          </cell>
        </row>
        <row r="107">
          <cell r="B107" t="str">
            <v>1.3.1 Info and Relationships</v>
          </cell>
          <cell r="H107" t="str">
            <v>Minor</v>
          </cell>
        </row>
        <row r="108">
          <cell r="B108" t="str">
            <v>1.4.3 Contrast (Minimum)</v>
          </cell>
          <cell r="H108" t="str">
            <v>Minor</v>
          </cell>
        </row>
        <row r="109">
          <cell r="B109" t="str">
            <v>1.4.10 Reflow (Added in 2.1)</v>
          </cell>
          <cell r="H109" t="str">
            <v>Major</v>
          </cell>
        </row>
        <row r="110">
          <cell r="B110" t="str">
            <v>1.4.11 Non-text Contrast (Added in 2.1)</v>
          </cell>
          <cell r="H110" t="str">
            <v>Minor</v>
          </cell>
        </row>
        <row r="111">
          <cell r="B111" t="str">
            <v>2.1.1 Keyboard</v>
          </cell>
          <cell r="H111" t="str">
            <v>Minor</v>
          </cell>
        </row>
        <row r="112">
          <cell r="B112" t="str">
            <v>2.5.3 Label in Name (Added in 2.1)</v>
          </cell>
          <cell r="H112" t="str">
            <v>Major</v>
          </cell>
        </row>
        <row r="113">
          <cell r="B113" t="str">
            <v>3.3.1 Error Identification</v>
          </cell>
          <cell r="H113" t="str">
            <v>Major</v>
          </cell>
        </row>
        <row r="114">
          <cell r="B114" t="str">
            <v>3.3.3 Error Suggestion</v>
          </cell>
          <cell r="H114" t="str">
            <v>Major</v>
          </cell>
        </row>
        <row r="115">
          <cell r="B115" t="str">
            <v>3.3.2 Labels or Instructions</v>
          </cell>
          <cell r="H115" t="str">
            <v>Critical</v>
          </cell>
        </row>
        <row r="116">
          <cell r="B116" t="str">
            <v>4.1.3 Status Messages (Added in 2.1)</v>
          </cell>
          <cell r="H116" t="str">
            <v>Major</v>
          </cell>
        </row>
        <row r="117">
          <cell r="B117" t="str">
            <v>1.3.1 Info and Relationships</v>
          </cell>
          <cell r="H117" t="str">
            <v>Minor</v>
          </cell>
        </row>
        <row r="118">
          <cell r="B118" t="str">
            <v>2.1.1 Keyboard</v>
          </cell>
          <cell r="H118" t="str">
            <v>Major</v>
          </cell>
        </row>
        <row r="119">
          <cell r="B119" t="str">
            <v>2.1.1 Keyboard</v>
          </cell>
          <cell r="H119" t="str">
            <v>Critical</v>
          </cell>
        </row>
        <row r="120">
          <cell r="B120" t="str">
            <v>2.1.1 Keyboard</v>
          </cell>
          <cell r="H120" t="str">
            <v>Blocking</v>
          </cell>
        </row>
        <row r="121">
          <cell r="B121" t="str">
            <v>1.3.1 Info and Relationships</v>
          </cell>
          <cell r="H121" t="str">
            <v>Minor</v>
          </cell>
        </row>
        <row r="122">
          <cell r="B122" t="str">
            <v>1.3.1 Info and Relationships</v>
          </cell>
          <cell r="H122" t="str">
            <v>Low</v>
          </cell>
        </row>
        <row r="123">
          <cell r="B123" t="str">
            <v>2.4.11 Focus Not Obscured (Minimum) (Added in 2.2)</v>
          </cell>
          <cell r="H123" t="str">
            <v>Major</v>
          </cell>
        </row>
        <row r="124">
          <cell r="B124" t="str">
            <v>2.4.3 Focus Order</v>
          </cell>
          <cell r="H124" t="str">
            <v>Low</v>
          </cell>
        </row>
        <row r="125">
          <cell r="B125" t="str">
            <v>2.4.3 Focus Order</v>
          </cell>
          <cell r="H125" t="str">
            <v>Minor</v>
          </cell>
        </row>
        <row r="126">
          <cell r="B126" t="str">
            <v>2.5.3 Label in Name (Added in 2.1)</v>
          </cell>
          <cell r="H126" t="str">
            <v>Critical</v>
          </cell>
        </row>
        <row r="127">
          <cell r="B127" t="str">
            <v>2.4.3 Focus Order</v>
          </cell>
          <cell r="H127" t="str">
            <v>Major</v>
          </cell>
        </row>
        <row r="128">
          <cell r="B128" t="str">
            <v>2.4.7 Focus Visible</v>
          </cell>
          <cell r="H128" t="str">
            <v>Minor</v>
          </cell>
        </row>
        <row r="129">
          <cell r="B129" t="str">
            <v>3.2.2 On Input</v>
          </cell>
          <cell r="H129" t="str">
            <v>Major</v>
          </cell>
        </row>
        <row r="130">
          <cell r="B130" t="str">
            <v>1.4.12 Text Spacing (Added in 2.1)</v>
          </cell>
          <cell r="H130" t="str">
            <v>Critical</v>
          </cell>
        </row>
        <row r="131">
          <cell r="B131" t="str">
            <v>1.4.10 Reflow (Added in 2.1)</v>
          </cell>
          <cell r="H131" t="str">
            <v>Blocking</v>
          </cell>
        </row>
        <row r="132">
          <cell r="B132" t="str">
            <v>1.3.1 Info and Relationships</v>
          </cell>
          <cell r="H132" t="str">
            <v>Major</v>
          </cell>
        </row>
        <row r="133">
          <cell r="B133" t="str">
            <v>1.4.3 Contrast (Minimum)</v>
          </cell>
          <cell r="H133" t="str">
            <v>Minor</v>
          </cell>
        </row>
        <row r="134">
          <cell r="B134" t="str">
            <v>1.4.11 Non-text Contrast (Added in 2.1)</v>
          </cell>
          <cell r="H134" t="str">
            <v>Minor</v>
          </cell>
        </row>
        <row r="135">
          <cell r="B135" t="str">
            <v>1.3.1 Info and Relationships</v>
          </cell>
          <cell r="H135" t="str">
            <v>Minor</v>
          </cell>
        </row>
        <row r="136">
          <cell r="B136" t="str">
            <v>1.3.1 Info and Relationships</v>
          </cell>
          <cell r="H136" t="str">
            <v>Blocking</v>
          </cell>
        </row>
        <row r="137">
          <cell r="B137" t="str">
            <v>4.1.3 Status Messages (Added in 2.1)</v>
          </cell>
          <cell r="H137" t="str">
            <v>Major</v>
          </cell>
        </row>
        <row r="138">
          <cell r="B138" t="str">
            <v>2.4.7 Focus Visible</v>
          </cell>
          <cell r="H138" t="str">
            <v>Low</v>
          </cell>
        </row>
        <row r="139">
          <cell r="B139" t="str">
            <v>1.3.5 Identify Input Purpose (Added in 2.1)</v>
          </cell>
          <cell r="H139" t="str">
            <v>Low</v>
          </cell>
        </row>
        <row r="140">
          <cell r="B140" t="str">
            <v>4.1.3 Status Messages (Added in 2.1)</v>
          </cell>
          <cell r="H140" t="str">
            <v>Major</v>
          </cell>
        </row>
        <row r="141">
          <cell r="B141" t="str">
            <v>1.3.1 Info and Relationships</v>
          </cell>
          <cell r="H141" t="str">
            <v>Major</v>
          </cell>
        </row>
        <row r="142">
          <cell r="B142" t="str">
            <v>2.4.3 Focus Order</v>
          </cell>
          <cell r="H142" t="str">
            <v>Minor</v>
          </cell>
        </row>
        <row r="143">
          <cell r="B143" t="str">
            <v>1.3.1 Info and Relationships</v>
          </cell>
          <cell r="H143" t="str">
            <v>Blocking</v>
          </cell>
        </row>
        <row r="144">
          <cell r="B144" t="str">
            <v>2.5.3 Label in Name (Added in 2.1)</v>
          </cell>
          <cell r="H144" t="str">
            <v>Critical</v>
          </cell>
        </row>
        <row r="145">
          <cell r="B145" t="str">
            <v>1.3.1 Info and Relationships</v>
          </cell>
          <cell r="H145" t="str">
            <v>Minor</v>
          </cell>
        </row>
        <row r="146">
          <cell r="B146" t="str">
            <v>1.3.1 Info and Relationships</v>
          </cell>
          <cell r="H146" t="str">
            <v>Major</v>
          </cell>
        </row>
        <row r="147">
          <cell r="B147" t="str">
            <v>2.4.7 Focus Visible</v>
          </cell>
          <cell r="H147" t="str">
            <v>Minor</v>
          </cell>
        </row>
        <row r="148">
          <cell r="B148" t="str">
            <v>2.1.1 Keyboard</v>
          </cell>
          <cell r="H148" t="str">
            <v>Blocking</v>
          </cell>
        </row>
        <row r="149">
          <cell r="B149" t="str">
            <v>2.4.3 Focus Order</v>
          </cell>
          <cell r="H149" t="str">
            <v>Low</v>
          </cell>
        </row>
        <row r="150">
          <cell r="B150" t="str">
            <v>1.4.10 Reflow (Added in 2.1)</v>
          </cell>
          <cell r="H150" t="str">
            <v>Major</v>
          </cell>
        </row>
        <row r="151">
          <cell r="B151" t="str">
            <v>1.4.4 Resize text</v>
          </cell>
          <cell r="H151" t="str">
            <v>Minor</v>
          </cell>
        </row>
        <row r="152">
          <cell r="B152" t="str">
            <v>1.4.3 Contrast (Minimum)</v>
          </cell>
          <cell r="H152" t="str">
            <v>Low</v>
          </cell>
        </row>
        <row r="153">
          <cell r="B153" t="str">
            <v>1.3.1 Info and Relationships</v>
          </cell>
          <cell r="H153" t="str">
            <v>Major</v>
          </cell>
        </row>
        <row r="154">
          <cell r="B154" t="str">
            <v>1.4.12 Text Spacing (Added in 2.1)</v>
          </cell>
          <cell r="H154" t="str">
            <v>Low</v>
          </cell>
        </row>
        <row r="155">
          <cell r="B155" t="str">
            <v>1.3.1 Info and Relationships</v>
          </cell>
          <cell r="H155" t="str">
            <v>Minor</v>
          </cell>
        </row>
        <row r="156">
          <cell r="B156" t="str">
            <v>2.2.1 Timing Adjustable</v>
          </cell>
          <cell r="H156" t="str">
            <v>Blocking</v>
          </cell>
        </row>
        <row r="157">
          <cell r="B157" t="str">
            <v>4.1.2 Name, Role, Value</v>
          </cell>
          <cell r="H157" t="str">
            <v>Critical</v>
          </cell>
        </row>
        <row r="158">
          <cell r="B158" t="str">
            <v>2.4.7 Focus Visible</v>
          </cell>
          <cell r="H158" t="str">
            <v>Minor</v>
          </cell>
        </row>
        <row r="159">
          <cell r="B159" t="str">
            <v>3.3.1 Error Identification</v>
          </cell>
          <cell r="H159" t="str">
            <v>Critical</v>
          </cell>
        </row>
        <row r="160">
          <cell r="B160" t="str">
            <v>2.4.7 Focus Visible</v>
          </cell>
          <cell r="H160" t="str">
            <v>Major</v>
          </cell>
        </row>
        <row r="161">
          <cell r="B161" t="str">
            <v>2.1.1 Keyboard</v>
          </cell>
          <cell r="H161" t="str">
            <v>Blocking</v>
          </cell>
        </row>
        <row r="162">
          <cell r="B162" t="str">
            <v>3.3.1 Error Identification</v>
          </cell>
          <cell r="H162" t="str">
            <v>Minor</v>
          </cell>
        </row>
        <row r="163">
          <cell r="B163" t="str">
            <v>1.4.10 Reflow (Added in 2.1)</v>
          </cell>
          <cell r="H163" t="str">
            <v>Major</v>
          </cell>
        </row>
        <row r="164">
          <cell r="B164" t="str">
            <v>1.4.3 Contrast (Minimum)</v>
          </cell>
          <cell r="H164" t="str">
            <v>Minor</v>
          </cell>
        </row>
        <row r="165">
          <cell r="B165" t="str">
            <v>2.1.1 Keyboard</v>
          </cell>
          <cell r="H165" t="str">
            <v>Blocking</v>
          </cell>
        </row>
        <row r="166">
          <cell r="B166" t="str">
            <v>1.3.3 Sensory Characteristics</v>
          </cell>
          <cell r="H166" t="str">
            <v>Critical</v>
          </cell>
        </row>
        <row r="167">
          <cell r="B167" t="str">
            <v>2.4.11 Focus Not Obscured (Minimum) (Added in 2.2)</v>
          </cell>
          <cell r="H167" t="str">
            <v>Low</v>
          </cell>
        </row>
        <row r="168">
          <cell r="B168" t="str">
            <v>2.1.1 Keyboard</v>
          </cell>
          <cell r="H168" t="str">
            <v>Blocking</v>
          </cell>
        </row>
        <row r="169">
          <cell r="B169" t="str">
            <v>2.4.7 Focus Visible</v>
          </cell>
          <cell r="H169" t="str">
            <v>Minor</v>
          </cell>
        </row>
        <row r="170">
          <cell r="B170" t="str">
            <v>1.4.10 Reflow (Added in 2.1)</v>
          </cell>
          <cell r="H170" t="str">
            <v>Informational</v>
          </cell>
        </row>
        <row r="171">
          <cell r="B171" t="str">
            <v>1.4.3 Contrast (Minimum)</v>
          </cell>
          <cell r="H171" t="str">
            <v>Minor</v>
          </cell>
        </row>
        <row r="172">
          <cell r="B172" t="str">
            <v>3.1.2 Language of Parts</v>
          </cell>
          <cell r="H172" t="str">
            <v>Low</v>
          </cell>
        </row>
        <row r="173">
          <cell r="B173" t="str">
            <v>3.2.4 Consistent Identification</v>
          </cell>
          <cell r="H173" t="str">
            <v>Low</v>
          </cell>
        </row>
        <row r="174">
          <cell r="B174" t="str">
            <v>2.4.11 Focus Not Obscured (Minimum) (Added in 2.2)</v>
          </cell>
          <cell r="H174" t="str">
            <v>Major</v>
          </cell>
        </row>
        <row r="175">
          <cell r="B175" t="str">
            <v>1.3.1 Info and Relationships</v>
          </cell>
          <cell r="H175" t="str">
            <v>Major</v>
          </cell>
        </row>
        <row r="176">
          <cell r="B176" t="str">
            <v>2.1.1 Keyboard</v>
          </cell>
          <cell r="H176" t="str">
            <v>Blocking</v>
          </cell>
        </row>
        <row r="177">
          <cell r="B177" t="str">
            <v>1.3.1 Info and Relationships</v>
          </cell>
          <cell r="H177" t="str">
            <v>Low</v>
          </cell>
        </row>
        <row r="178">
          <cell r="B178" t="str">
            <v>2.4.11 Focus Not Obscured (Minimum) (Added in 2.2)</v>
          </cell>
        </row>
        <row r="179">
          <cell r="B179" t="str">
            <v>2.1.1 Keyboard</v>
          </cell>
          <cell r="H179" t="str">
            <v>Blocking</v>
          </cell>
        </row>
        <row r="180">
          <cell r="B180" t="str">
            <v>4.1.3 Status Messages (Added in 2.1)</v>
          </cell>
          <cell r="H180" t="str">
            <v>Major</v>
          </cell>
        </row>
        <row r="181">
          <cell r="B181" t="str">
            <v>2.1.2 No Keyboard Trap</v>
          </cell>
          <cell r="H181" t="str">
            <v>Critical</v>
          </cell>
        </row>
        <row r="182">
          <cell r="B182" t="str">
            <v>1.3.1 Info and Relationships</v>
          </cell>
          <cell r="H182" t="str">
            <v>Critical</v>
          </cell>
        </row>
        <row r="183">
          <cell r="B183" t="str">
            <v>2.1.1 Keyboard</v>
          </cell>
          <cell r="H183" t="str">
            <v>Blocking</v>
          </cell>
        </row>
        <row r="184">
          <cell r="B184" t="str">
            <v>2.4.4 Link Purpose (In Context)</v>
          </cell>
          <cell r="H184" t="str">
            <v>Minor</v>
          </cell>
        </row>
        <row r="185">
          <cell r="B185" t="str">
            <v>2.1.1 Keyboard</v>
          </cell>
          <cell r="H185" t="str">
            <v>Major</v>
          </cell>
        </row>
        <row r="186">
          <cell r="B186" t="str">
            <v>1.1.1 Non-text Content</v>
          </cell>
          <cell r="H186" t="str">
            <v>Blocking</v>
          </cell>
        </row>
        <row r="187">
          <cell r="B187" t="str">
            <v>4.1.3 Status Messages (Added in 2.1)</v>
          </cell>
          <cell r="H187" t="str">
            <v>Major</v>
          </cell>
        </row>
        <row r="188">
          <cell r="B188" t="str">
            <v>2.4.11 Focus Not Obscured (Minimum) (Added in 2.2)</v>
          </cell>
          <cell r="H188" t="str">
            <v>Minor</v>
          </cell>
        </row>
        <row r="189">
          <cell r="B189" t="str">
            <v>1.4.3 Contrast (Minimum)</v>
          </cell>
          <cell r="H189" t="str">
            <v>Minor</v>
          </cell>
        </row>
        <row r="190">
          <cell r="B190" t="str">
            <v>1.4.10 Reflow (Added in 2.1)</v>
          </cell>
          <cell r="H190" t="str">
            <v>Minor</v>
          </cell>
        </row>
        <row r="191">
          <cell r="B191" t="str">
            <v>1.3.1 Info and Relationships</v>
          </cell>
          <cell r="H191" t="str">
            <v>Minor</v>
          </cell>
        </row>
        <row r="192">
          <cell r="B192" t="str">
            <v>4.1.2 Name, Role, Value</v>
          </cell>
          <cell r="H192" t="str">
            <v>Critical</v>
          </cell>
        </row>
        <row r="193">
          <cell r="B193" t="str">
            <v>1.3.1 Info and Relationships</v>
          </cell>
          <cell r="H193" t="str">
            <v>Minor</v>
          </cell>
        </row>
        <row r="194">
          <cell r="B194" t="str">
            <v>1.4.12 Text Spacing (Added in 2.1)</v>
          </cell>
          <cell r="H194" t="str">
            <v>Minor</v>
          </cell>
        </row>
        <row r="195">
          <cell r="B195" t="str">
            <v>2.4.7 Focus Visible</v>
          </cell>
          <cell r="H195" t="str">
            <v>Major</v>
          </cell>
        </row>
        <row r="196">
          <cell r="B196" t="str">
            <v>2.1.1 Keyboard</v>
          </cell>
          <cell r="H196" t="str">
            <v>Major</v>
          </cell>
        </row>
        <row r="197">
          <cell r="B197" t="str">
            <v>1.3.1 Info and Relationships</v>
          </cell>
          <cell r="H197" t="str">
            <v>Critical</v>
          </cell>
        </row>
        <row r="198">
          <cell r="B198" t="str">
            <v>2.1.1 Keyboard</v>
          </cell>
          <cell r="H198" t="str">
            <v>Blocking</v>
          </cell>
        </row>
        <row r="199">
          <cell r="B199" t="str">
            <v>1.4.4 Resize text</v>
          </cell>
          <cell r="H199" t="str">
            <v>Minor</v>
          </cell>
        </row>
        <row r="200">
          <cell r="B200" t="str">
            <v>1.4.12 Text Spacing (Added in 2.1)</v>
          </cell>
          <cell r="H200" t="str">
            <v>Minor</v>
          </cell>
        </row>
        <row r="201">
          <cell r="B201" t="str">
            <v>1.3.1 Info and Relationships</v>
          </cell>
          <cell r="H201" t="str">
            <v>Low</v>
          </cell>
        </row>
        <row r="202">
          <cell r="B202" t="str">
            <v>2.4.11 Focus Not Obscured (Minimum) (Added in 2.2)</v>
          </cell>
          <cell r="H202" t="str">
            <v>Major</v>
          </cell>
        </row>
        <row r="203">
          <cell r="B203" t="str">
            <v>3.3.3 Error Suggestion</v>
          </cell>
          <cell r="H203" t="str">
            <v>Major</v>
          </cell>
        </row>
        <row r="204">
          <cell r="B204" t="str">
            <v>1.3.1 Info and Relationships</v>
          </cell>
          <cell r="H204" t="str">
            <v>Minor</v>
          </cell>
        </row>
        <row r="205">
          <cell r="B205" t="str">
            <v>4.1.2 Name, Role, Value</v>
          </cell>
          <cell r="H205" t="str">
            <v>Major</v>
          </cell>
        </row>
        <row r="206">
          <cell r="B206" t="str">
            <v>1.1.1 Non-text Content</v>
          </cell>
          <cell r="H206" t="str">
            <v>Major</v>
          </cell>
        </row>
        <row r="207">
          <cell r="B207" t="str">
            <v>2.1.1 Keyboard</v>
          </cell>
          <cell r="H207" t="str">
            <v>Minor</v>
          </cell>
        </row>
        <row r="208">
          <cell r="B208" t="str">
            <v>1.3.1 Info and Relationships</v>
          </cell>
          <cell r="H208" t="str">
            <v>Major</v>
          </cell>
        </row>
        <row r="209">
          <cell r="B209" t="str">
            <v>2.4.3 Focus Order</v>
          </cell>
          <cell r="H209" t="str">
            <v>Major</v>
          </cell>
        </row>
        <row r="210">
          <cell r="B210" t="str">
            <v>2.4.4 Link Purpose (In Context)</v>
          </cell>
          <cell r="H210" t="str">
            <v>Major</v>
          </cell>
        </row>
        <row r="211">
          <cell r="B211" t="str">
            <v>2.5.2 Pointer Cancellation (Added in 2.1)</v>
          </cell>
          <cell r="H211" t="str">
            <v>Minor</v>
          </cell>
        </row>
        <row r="212">
          <cell r="B212" t="str">
            <v>1.4.3 Contrast (Minimum)</v>
          </cell>
          <cell r="H212" t="str">
            <v>Minor</v>
          </cell>
        </row>
        <row r="213">
          <cell r="B213" t="str">
            <v>1.4.11 Non-text Contrast (Added in 2.1)</v>
          </cell>
          <cell r="H213" t="str">
            <v>Minor</v>
          </cell>
        </row>
        <row r="214">
          <cell r="B214" t="str">
            <v>3.3.1 Error Identification</v>
          </cell>
          <cell r="H214" t="str">
            <v>Critical</v>
          </cell>
        </row>
        <row r="215">
          <cell r="B215" t="str">
            <v>4.1.2 Name, Role, Value</v>
          </cell>
          <cell r="H215" t="str">
            <v>Blocking</v>
          </cell>
        </row>
        <row r="216">
          <cell r="B216" t="str">
            <v>2.1.1 Keyboard</v>
          </cell>
          <cell r="H216" t="str">
            <v>Blocking</v>
          </cell>
        </row>
        <row r="217">
          <cell r="B217" t="str">
            <v>1.4.3 Contrast (Minimum)</v>
          </cell>
          <cell r="H217" t="str">
            <v>Minor</v>
          </cell>
        </row>
        <row r="218">
          <cell r="B218" t="str">
            <v>2.4.7 Focus Visible</v>
          </cell>
          <cell r="H218" t="str">
            <v>Minor</v>
          </cell>
        </row>
        <row r="219">
          <cell r="B219" t="str">
            <v>1.4.10 Reflow (Added in 2.1)</v>
          </cell>
          <cell r="H219" t="str">
            <v>Major</v>
          </cell>
        </row>
        <row r="220">
          <cell r="B220" t="str">
            <v>1.4.4 Resize text</v>
          </cell>
        </row>
        <row r="221">
          <cell r="B221" t="str">
            <v>1.4.10 Reflow (Added in 2.1)</v>
          </cell>
        </row>
        <row r="222">
          <cell r="B222" t="str">
            <v>1.4.3 Contrast (Minimum)</v>
          </cell>
        </row>
        <row r="223">
          <cell r="B223" t="str">
            <v>1.4.11 Non-text Contrast (Added in 2.1)</v>
          </cell>
        </row>
        <row r="224">
          <cell r="B224" t="str">
            <v>1.3.1 Info and Relationships</v>
          </cell>
        </row>
        <row r="225">
          <cell r="B225" t="str">
            <v>1.3.1 Info and Relationships</v>
          </cell>
        </row>
        <row r="226">
          <cell r="B226" t="str">
            <v>1.1.1 Non-text Content</v>
          </cell>
        </row>
        <row r="227">
          <cell r="B227" t="str">
            <v>3.2.4 Consistent Identification</v>
          </cell>
          <cell r="H227" t="str">
            <v>Minor</v>
          </cell>
        </row>
        <row r="228">
          <cell r="B228" t="str">
            <v>3.2.4 Consistent Identification</v>
          </cell>
          <cell r="H228" t="str">
            <v>Minor</v>
          </cell>
        </row>
        <row r="229">
          <cell r="B229" t="str">
            <v>2.4.11 Focus Not Obscured (Minimum) (Added in 2.2)</v>
          </cell>
          <cell r="H229" t="str">
            <v>Critical</v>
          </cell>
        </row>
        <row r="230">
          <cell r="B230" t="str">
            <v>2.4.7 Focus Visible</v>
          </cell>
          <cell r="H230" t="str">
            <v>Minor</v>
          </cell>
        </row>
        <row r="231">
          <cell r="B231" t="str">
            <v>4.1.2 Name, Role, Value</v>
          </cell>
          <cell r="H231" t="str">
            <v>Critical</v>
          </cell>
        </row>
        <row r="232">
          <cell r="B232" t="str">
            <v>2.4.7 Focus Visible</v>
          </cell>
          <cell r="H232" t="str">
            <v>Minor</v>
          </cell>
        </row>
        <row r="233">
          <cell r="B233" t="str">
            <v>1.3.1 Info and Relationships</v>
          </cell>
          <cell r="H233" t="str">
            <v>Major</v>
          </cell>
        </row>
        <row r="234">
          <cell r="B234" t="str">
            <v>2.4.11 Focus Not Obscured (Minimum) (Added in 2.2)</v>
          </cell>
          <cell r="H234" t="str">
            <v>Critical</v>
          </cell>
        </row>
        <row r="235">
          <cell r="B235" t="str">
            <v>4.1.2 Name, Role, Value</v>
          </cell>
          <cell r="H235" t="str">
            <v>Major</v>
          </cell>
        </row>
        <row r="236">
          <cell r="B236" t="str">
            <v>2.4.7 Focus Visible</v>
          </cell>
          <cell r="H236" t="str">
            <v>Major</v>
          </cell>
        </row>
        <row r="237">
          <cell r="B237" t="str">
            <v>2.1.1 Keyboard</v>
          </cell>
          <cell r="H237" t="str">
            <v>Blocking</v>
          </cell>
        </row>
        <row r="238">
          <cell r="B238" t="str">
            <v>2.1.1 Keyboard</v>
          </cell>
          <cell r="H238" t="str">
            <v>Blocking</v>
          </cell>
        </row>
        <row r="239">
          <cell r="B239" t="str">
            <v>1.3.1 Info and Relationships</v>
          </cell>
          <cell r="H239" t="str">
            <v>Major</v>
          </cell>
        </row>
        <row r="240">
          <cell r="B240" t="str">
            <v>1.4.12 Text Spacing (Added in 2.1)</v>
          </cell>
          <cell r="H240" t="str">
            <v>Minor</v>
          </cell>
        </row>
        <row r="241">
          <cell r="B241" t="str">
            <v>1.4.3 Contrast (Minimum)</v>
          </cell>
          <cell r="H241" t="str">
            <v>Major</v>
          </cell>
        </row>
        <row r="242">
          <cell r="B242" t="str">
            <v>1.4.11 Non-text Contrast (Added in 2.1)</v>
          </cell>
          <cell r="H242" t="str">
            <v>Minor</v>
          </cell>
        </row>
        <row r="243">
          <cell r="B243" t="str">
            <v>1.4.10 Reflow (Added in 2.1)</v>
          </cell>
          <cell r="H243" t="str">
            <v>Critical</v>
          </cell>
        </row>
        <row r="244">
          <cell r="B244" t="str">
            <v>3.3.1 Error Identification</v>
          </cell>
          <cell r="H244" t="str">
            <v>Minor</v>
          </cell>
        </row>
        <row r="245">
          <cell r="B245" t="str">
            <v>1.3.1 Info and Relationships</v>
          </cell>
          <cell r="H245" t="str">
            <v>Major</v>
          </cell>
        </row>
        <row r="246">
          <cell r="B246" t="str">
            <v>1.3.1 Info and Relationships</v>
          </cell>
          <cell r="H246" t="str">
            <v>Minor</v>
          </cell>
        </row>
        <row r="247">
          <cell r="B247" t="str">
            <v>1.3.1 Info and Relationships</v>
          </cell>
          <cell r="H247" t="str">
            <v>Major</v>
          </cell>
        </row>
        <row r="248">
          <cell r="B248" t="str">
            <v>1.3.1 Info and Relationships</v>
          </cell>
          <cell r="H248" t="str">
            <v>Major</v>
          </cell>
        </row>
        <row r="249">
          <cell r="B249" t="str">
            <v>2.4.3 Focus Order</v>
          </cell>
          <cell r="H249" t="str">
            <v>Major</v>
          </cell>
        </row>
        <row r="250">
          <cell r="B250" t="str">
            <v>2.4.11 Focus Not Obscured (Minimum) (Added in 2.2)</v>
          </cell>
          <cell r="H250" t="str">
            <v>Major</v>
          </cell>
        </row>
        <row r="251">
          <cell r="B251" t="str">
            <v>1.4.10 Reflow (Added in 2.1)</v>
          </cell>
          <cell r="H251" t="str">
            <v>Low</v>
          </cell>
        </row>
        <row r="252">
          <cell r="B252" t="str">
            <v>4.1.2 Name, Role, Value</v>
          </cell>
          <cell r="H252" t="str">
            <v>Major</v>
          </cell>
        </row>
        <row r="253">
          <cell r="B253" t="str">
            <v>2.1.1 Keyboard</v>
          </cell>
          <cell r="H253" t="str">
            <v>Major</v>
          </cell>
        </row>
        <row r="254">
          <cell r="B254" t="str">
            <v>1.3.1 Info and Relationships</v>
          </cell>
          <cell r="H254" t="str">
            <v>Minor</v>
          </cell>
        </row>
        <row r="255">
          <cell r="B255" t="str">
            <v>1.3.1 Info and Relationships</v>
          </cell>
          <cell r="H255" t="str">
            <v>Major</v>
          </cell>
        </row>
        <row r="256">
          <cell r="B256" t="str">
            <v>2.1.1 Keyboard</v>
          </cell>
          <cell r="H256" t="str">
            <v>Minor</v>
          </cell>
        </row>
        <row r="257">
          <cell r="B257" t="str">
            <v>3.3.2 Labels or Instructions</v>
          </cell>
          <cell r="H257" t="str">
            <v>Major</v>
          </cell>
        </row>
        <row r="258">
          <cell r="B258" t="str">
            <v>4.1.3 Status Messages (Added in 2.1)</v>
          </cell>
          <cell r="H258" t="str">
            <v>Minor</v>
          </cell>
        </row>
        <row r="259">
          <cell r="B259" t="str">
            <v>1.4.10 Reflow (Added in 2.1)</v>
          </cell>
          <cell r="H259" t="str">
            <v>Minor</v>
          </cell>
        </row>
        <row r="260">
          <cell r="B260" t="str">
            <v>2.4.11 Focus Not Obscured (Minimum) (Added in 2.2)</v>
          </cell>
          <cell r="H260" t="str">
            <v>Major</v>
          </cell>
        </row>
        <row r="261">
          <cell r="B261" t="str">
            <v>2.4.3 Focus Order</v>
          </cell>
          <cell r="H261" t="str">
            <v>Major</v>
          </cell>
        </row>
        <row r="262">
          <cell r="B262" t="str">
            <v>2.4.7 Focus Visible</v>
          </cell>
          <cell r="H262" t="str">
            <v>Minor</v>
          </cell>
        </row>
        <row r="263">
          <cell r="B263" t="str">
            <v>1.3.1 Info and Relationships</v>
          </cell>
          <cell r="H263" t="str">
            <v>Minor</v>
          </cell>
        </row>
        <row r="264">
          <cell r="B264" t="str">
            <v>4.1.2 Name, Role, Value</v>
          </cell>
          <cell r="H264" t="str">
            <v>Major</v>
          </cell>
        </row>
        <row r="265">
          <cell r="B265" t="str">
            <v>2.4.3 Focus Order</v>
          </cell>
          <cell r="H265" t="str">
            <v>Major</v>
          </cell>
        </row>
        <row r="266">
          <cell r="B266" t="str">
            <v>1.3.1 Info and Relationships</v>
          </cell>
        </row>
        <row r="267">
          <cell r="B267" t="str">
            <v>1.3.1 Info and Relationships</v>
          </cell>
        </row>
        <row r="268">
          <cell r="B268" t="str">
            <v>3.3.2 Labels or Instructions</v>
          </cell>
          <cell r="H268" t="str">
            <v>Major</v>
          </cell>
        </row>
        <row r="269">
          <cell r="B269" t="str">
            <v>2.1.1 Keyboard</v>
          </cell>
          <cell r="H269" t="str">
            <v>Critical</v>
          </cell>
        </row>
        <row r="270">
          <cell r="B270" t="str">
            <v>1.3.1 Info and Relationships</v>
          </cell>
          <cell r="H270" t="str">
            <v>Minor</v>
          </cell>
        </row>
        <row r="271">
          <cell r="B271" t="str">
            <v>1.4.3 Contrast (Minimum)</v>
          </cell>
          <cell r="H271" t="str">
            <v>Minor</v>
          </cell>
        </row>
        <row r="272">
          <cell r="B272" t="str">
            <v>1.4.10 Reflow (Added in 2.1)</v>
          </cell>
          <cell r="H272" t="str">
            <v>Major</v>
          </cell>
        </row>
        <row r="273">
          <cell r="B273" t="str">
            <v>1.3.1 Info and Relationships</v>
          </cell>
          <cell r="H273" t="str">
            <v>Low</v>
          </cell>
        </row>
        <row r="274">
          <cell r="B274" t="str">
            <v>2.4.7 Focus Visible</v>
          </cell>
          <cell r="H274" t="str">
            <v>Minor</v>
          </cell>
        </row>
        <row r="275">
          <cell r="B275" t="str">
            <v>2.1.1 Keyboard</v>
          </cell>
          <cell r="H275" t="str">
            <v>Informational</v>
          </cell>
        </row>
        <row r="276">
          <cell r="B276" t="str">
            <v>1.3.1 Info and Relationships</v>
          </cell>
          <cell r="H276" t="str">
            <v>Major</v>
          </cell>
        </row>
        <row r="277">
          <cell r="B277" t="str">
            <v>3.3.1 Error Identification</v>
          </cell>
          <cell r="H277" t="str">
            <v>Minor</v>
          </cell>
        </row>
        <row r="278">
          <cell r="B278" t="str">
            <v>3.3.3 Error Suggestion</v>
          </cell>
          <cell r="H278" t="str">
            <v>Minor</v>
          </cell>
        </row>
        <row r="279">
          <cell r="B279" t="str">
            <v>1.4.3 Contrast (Minimum)</v>
          </cell>
          <cell r="H279" t="str">
            <v>Minor</v>
          </cell>
        </row>
        <row r="280">
          <cell r="B280" t="str">
            <v>1.4.4 Resize text</v>
          </cell>
          <cell r="H280" t="str">
            <v>Major</v>
          </cell>
        </row>
        <row r="281">
          <cell r="B281" t="str">
            <v>1.4.10 Reflow (Added in 2.1)</v>
          </cell>
          <cell r="H281" t="str">
            <v>Minor</v>
          </cell>
        </row>
        <row r="282">
          <cell r="B282" t="str">
            <v>2.1.1 Keyboard</v>
          </cell>
          <cell r="H282" t="str">
            <v>Major</v>
          </cell>
        </row>
        <row r="283">
          <cell r="B283" t="str">
            <v>1.4.12 Text Spacing (Added in 2.1)</v>
          </cell>
          <cell r="H283" t="str">
            <v>Minor</v>
          </cell>
        </row>
        <row r="284">
          <cell r="B284" t="str">
            <v>2.4.11 Focus Not Obscured (Minimum) (Added in 2.2)</v>
          </cell>
          <cell r="H284" t="str">
            <v>Minor</v>
          </cell>
        </row>
        <row r="285">
          <cell r="B285" t="str">
            <v>4.1.2 Name, Role, Value</v>
          </cell>
          <cell r="H285" t="str">
            <v>Critical</v>
          </cell>
        </row>
        <row r="286">
          <cell r="B286" t="str">
            <v>1.3.1 Info and Relationships</v>
          </cell>
          <cell r="H286" t="str">
            <v>Major</v>
          </cell>
        </row>
        <row r="287">
          <cell r="B287" t="str">
            <v>3.3.2 Labels or Instructions</v>
          </cell>
          <cell r="H287" t="str">
            <v>Major</v>
          </cell>
        </row>
        <row r="288">
          <cell r="B288" t="str">
            <v>2.4.6 Headings and Labels</v>
          </cell>
          <cell r="H288" t="str">
            <v>Informational</v>
          </cell>
        </row>
        <row r="289">
          <cell r="B289" t="str">
            <v>3.3.2 Labels or Instructions</v>
          </cell>
          <cell r="H289" t="str">
            <v>Informational</v>
          </cell>
        </row>
        <row r="290">
          <cell r="B290" t="str">
            <v>2.4.7 Focus Visible</v>
          </cell>
          <cell r="H290" t="str">
            <v>Minor</v>
          </cell>
        </row>
        <row r="291">
          <cell r="B291" t="str">
            <v>2.1.1 Keyboard</v>
          </cell>
          <cell r="H291" t="str">
            <v>Blocking</v>
          </cell>
        </row>
        <row r="292">
          <cell r="B292" t="str">
            <v>1.3.1 Info and Relationships</v>
          </cell>
          <cell r="H292" t="str">
            <v>Major</v>
          </cell>
        </row>
        <row r="293">
          <cell r="B293" t="str">
            <v>1.3.1 Info and Relationships</v>
          </cell>
          <cell r="H293" t="str">
            <v>Low</v>
          </cell>
        </row>
        <row r="294">
          <cell r="B294" t="str">
            <v>3.3.3 Error Suggestion</v>
          </cell>
          <cell r="H294" t="str">
            <v>Major</v>
          </cell>
        </row>
        <row r="295">
          <cell r="B295" t="str">
            <v>2.1.1 Keyboard</v>
          </cell>
          <cell r="H295" t="str">
            <v>Blocking</v>
          </cell>
        </row>
        <row r="296">
          <cell r="B296" t="str">
            <v>2.1.1 Keyboard</v>
          </cell>
          <cell r="H296" t="str">
            <v>Major</v>
          </cell>
        </row>
        <row r="297">
          <cell r="B297" t="str">
            <v>4.1.2 Name, Role, Value</v>
          </cell>
          <cell r="H297" t="str">
            <v>Informational</v>
          </cell>
        </row>
        <row r="298">
          <cell r="B298" t="str">
            <v>1.3.1 Info and Relationships</v>
          </cell>
          <cell r="H298" t="str">
            <v>Major</v>
          </cell>
        </row>
        <row r="299">
          <cell r="B299" t="str">
            <v>1.3.1 Info and Relationships</v>
          </cell>
          <cell r="H299" t="str">
            <v>Critical</v>
          </cell>
        </row>
        <row r="300">
          <cell r="B300" t="str">
            <v>2.4.7 Focus Visible</v>
          </cell>
          <cell r="H300" t="str">
            <v>Minor</v>
          </cell>
        </row>
        <row r="301">
          <cell r="B301" t="str">
            <v>1.3.1 Info and Relationships</v>
          </cell>
          <cell r="H301" t="str">
            <v>Informational</v>
          </cell>
        </row>
        <row r="302">
          <cell r="B302" t="str">
            <v>1.4.12 Text Spacing (Added in 2.1)</v>
          </cell>
          <cell r="H302" t="str">
            <v>Minor</v>
          </cell>
        </row>
        <row r="303">
          <cell r="B303" t="str">
            <v>1.4.10 Reflow (Added in 2.1)</v>
          </cell>
          <cell r="H303" t="str">
            <v>Major</v>
          </cell>
        </row>
        <row r="304">
          <cell r="B304" t="str">
            <v>2.4.11 Focus Not Obscured (Minimum) (Added in 2.2)</v>
          </cell>
          <cell r="H304" t="str">
            <v>Critical</v>
          </cell>
        </row>
        <row r="305">
          <cell r="B305" t="str">
            <v>4.1.2 Name, Role, Value</v>
          </cell>
          <cell r="H305" t="str">
            <v>Major</v>
          </cell>
        </row>
        <row r="306">
          <cell r="B306" t="str">
            <v>3.3.1 Error Identification</v>
          </cell>
          <cell r="H306" t="str">
            <v>Blocking</v>
          </cell>
        </row>
        <row r="307">
          <cell r="B307" t="str">
            <v>2.4.3 Focus Order</v>
          </cell>
          <cell r="H307" t="str">
            <v>Major</v>
          </cell>
        </row>
        <row r="308">
          <cell r="B308" t="str">
            <v>2.4.11 Focus Not Obscured (Minimum) (Added in 2.2)</v>
          </cell>
          <cell r="H308" t="str">
            <v>Major</v>
          </cell>
        </row>
        <row r="309">
          <cell r="B309" t="str">
            <v>3.2.6 Consistent Help (Added in 2.2)</v>
          </cell>
          <cell r="H309" t="str">
            <v>Major</v>
          </cell>
        </row>
        <row r="310">
          <cell r="B310" t="str">
            <v>1.1.1 Non-text Content</v>
          </cell>
          <cell r="H310" t="str">
            <v>Minor</v>
          </cell>
        </row>
        <row r="311">
          <cell r="B311" t="str">
            <v>2.4.7 Focus Visible</v>
          </cell>
          <cell r="H311" t="str">
            <v>Minor</v>
          </cell>
        </row>
        <row r="312">
          <cell r="B312" t="str">
            <v>1.4.12 Text Spacing (Added in 2.1)</v>
          </cell>
          <cell r="H312" t="str">
            <v>Major</v>
          </cell>
        </row>
        <row r="313">
          <cell r="B313" t="str">
            <v>1.4.4 Resize text</v>
          </cell>
          <cell r="H313" t="str">
            <v>Major</v>
          </cell>
        </row>
        <row r="314">
          <cell r="B314" t="str">
            <v>1.4.10 Reflow (Added in 2.1)</v>
          </cell>
          <cell r="H314" t="str">
            <v>Major</v>
          </cell>
        </row>
        <row r="315">
          <cell r="B315" t="str">
            <v>1.3.1 Info and Relationships</v>
          </cell>
          <cell r="H315" t="str">
            <v>Minor</v>
          </cell>
        </row>
        <row r="316">
          <cell r="B316" t="str">
            <v>1.3.1 Info and Relationships</v>
          </cell>
          <cell r="H316" t="str">
            <v>Major</v>
          </cell>
        </row>
        <row r="317">
          <cell r="B317" t="str">
            <v>1.3.1 Info and Relationships</v>
          </cell>
          <cell r="H317" t="str">
            <v>Major</v>
          </cell>
        </row>
        <row r="318">
          <cell r="B318" t="str">
            <v>1.3.5 Identify Input Purpose (Added in 2.1)</v>
          </cell>
          <cell r="H318" t="str">
            <v>Minor</v>
          </cell>
        </row>
        <row r="319">
          <cell r="B319" t="str">
            <v>3.3.2 Labels or Instructions</v>
          </cell>
          <cell r="H319" t="str">
            <v>Major</v>
          </cell>
        </row>
        <row r="320">
          <cell r="B320" t="str">
            <v>4.1.3 Status Messages (Added in 2.1)</v>
          </cell>
          <cell r="H320" t="str">
            <v>Critical</v>
          </cell>
        </row>
        <row r="321">
          <cell r="B321" t="str">
            <v>1.1.1 Non-text Content</v>
          </cell>
          <cell r="H321" t="str">
            <v>Major</v>
          </cell>
        </row>
        <row r="322">
          <cell r="B322" t="str">
            <v>1.3.1 Info and Relationships</v>
          </cell>
          <cell r="H322" t="str">
            <v>Minor</v>
          </cell>
        </row>
        <row r="323">
          <cell r="B323" t="str">
            <v>2.1.2 No Keyboard Trap</v>
          </cell>
          <cell r="H323" t="str">
            <v>Blocking</v>
          </cell>
        </row>
        <row r="324">
          <cell r="B324" t="str">
            <v>2.1.1 Keyboard</v>
          </cell>
          <cell r="H324" t="str">
            <v>Blocking</v>
          </cell>
        </row>
        <row r="325">
          <cell r="B325" t="str">
            <v>2.1.1 Keyboard</v>
          </cell>
          <cell r="H325" t="str">
            <v>Critical</v>
          </cell>
        </row>
        <row r="326">
          <cell r="B326" t="str">
            <v>1.4.3 Contrast (Minimum)</v>
          </cell>
          <cell r="H326" t="str">
            <v>Major</v>
          </cell>
        </row>
        <row r="327">
          <cell r="B327" t="str">
            <v>1.3.1 Info and Relationships</v>
          </cell>
          <cell r="H327" t="str">
            <v>Major</v>
          </cell>
        </row>
        <row r="328">
          <cell r="B328" t="str">
            <v>1.4.11 Non-text Contrast (Added in 2.1)</v>
          </cell>
          <cell r="H328" t="str">
            <v>Minor</v>
          </cell>
        </row>
        <row r="329">
          <cell r="B329" t="str">
            <v>1.4.10 Reflow (Added in 2.1)</v>
          </cell>
          <cell r="H329" t="str">
            <v>Major</v>
          </cell>
        </row>
        <row r="330">
          <cell r="B330" t="str">
            <v>1.4.12 Text Spacing (Added in 2.1)</v>
          </cell>
          <cell r="H330" t="str">
            <v>Minor</v>
          </cell>
        </row>
        <row r="331">
          <cell r="B331" t="str">
            <v>2.4.7 Focus Visible</v>
          </cell>
          <cell r="H331" t="str">
            <v>Minor</v>
          </cell>
        </row>
        <row r="332">
          <cell r="B332" t="str">
            <v>3.2.3 Consistent Navigation</v>
          </cell>
          <cell r="H332" t="str">
            <v>Low</v>
          </cell>
        </row>
        <row r="333">
          <cell r="B333" t="str">
            <v>3.2.2 On Input</v>
          </cell>
          <cell r="H333" t="str">
            <v>Critical</v>
          </cell>
        </row>
        <row r="334">
          <cell r="B334" t="str">
            <v>1.3.1 Info and Relationships</v>
          </cell>
          <cell r="H334" t="str">
            <v>Major</v>
          </cell>
        </row>
        <row r="335">
          <cell r="B335" t="str">
            <v>1.4.3 Contrast (Minimum)</v>
          </cell>
          <cell r="H335" t="str">
            <v>Minor</v>
          </cell>
        </row>
        <row r="336">
          <cell r="B336" t="str">
            <v>3.3.2 Labels or Instructions</v>
          </cell>
          <cell r="H336" t="str">
            <v>Informational</v>
          </cell>
        </row>
        <row r="337">
          <cell r="B337" t="str">
            <v>1.3.1 Info and Relationships</v>
          </cell>
          <cell r="H337" t="str">
            <v>Informational</v>
          </cell>
        </row>
        <row r="338">
          <cell r="B338" t="str">
            <v>2.4.6 Headings and Labels</v>
          </cell>
          <cell r="H338" t="str">
            <v>Major</v>
          </cell>
        </row>
        <row r="339">
          <cell r="B339" t="str">
            <v>1.4.12 Text Spacing (Added in 2.1)</v>
          </cell>
          <cell r="H339" t="str">
            <v>Minor</v>
          </cell>
        </row>
        <row r="340">
          <cell r="B340" t="str">
            <v>1.4.10 Reflow (Added in 2.1)</v>
          </cell>
        </row>
        <row r="341">
          <cell r="B341" t="str">
            <v>2.4.7 Focus Visible</v>
          </cell>
          <cell r="H341" t="str">
            <v>Minor</v>
          </cell>
        </row>
        <row r="342">
          <cell r="B342" t="str">
            <v>3.3.2 Labels or Instructions</v>
          </cell>
          <cell r="H342" t="str">
            <v>Major</v>
          </cell>
        </row>
        <row r="343">
          <cell r="B343" t="str">
            <v>2.1.1 Keyboard</v>
          </cell>
          <cell r="H343" t="str">
            <v>Critical</v>
          </cell>
        </row>
        <row r="344">
          <cell r="B344" t="str">
            <v>2.4.7 Focus Visible</v>
          </cell>
          <cell r="H344" t="str">
            <v>Major</v>
          </cell>
        </row>
        <row r="345">
          <cell r="B345" t="str">
            <v>1.3.1 Info and Relationships</v>
          </cell>
          <cell r="H345" t="str">
            <v>Minor</v>
          </cell>
        </row>
        <row r="346">
          <cell r="B346" t="str">
            <v>2.4.11 Focus Not Obscured (Minimum) (Added in 2.2)</v>
          </cell>
          <cell r="H346" t="str">
            <v>Major</v>
          </cell>
        </row>
        <row r="347">
          <cell r="B347" t="str">
            <v>1.3.1 Info and Relationships</v>
          </cell>
          <cell r="H347" t="str">
            <v>Major</v>
          </cell>
        </row>
        <row r="348">
          <cell r="B348" t="str">
            <v>1.4.3 Contrast (Minimum)</v>
          </cell>
          <cell r="H348" t="str">
            <v>Minor</v>
          </cell>
        </row>
        <row r="349">
          <cell r="B349" t="str">
            <v>2.1.1 Keyboard</v>
          </cell>
          <cell r="H349" t="str">
            <v>Critical</v>
          </cell>
        </row>
        <row r="350">
          <cell r="B350" t="str">
            <v>1.3.2 Meaningful Sequence</v>
          </cell>
          <cell r="H350" t="str">
            <v>Major</v>
          </cell>
        </row>
        <row r="351">
          <cell r="B351" t="str">
            <v>1.3.1 Info and Relationships</v>
          </cell>
          <cell r="H351" t="str">
            <v>Major</v>
          </cell>
        </row>
        <row r="352">
          <cell r="B352" t="str">
            <v>1.3.1 Info and Relationships</v>
          </cell>
          <cell r="H352" t="str">
            <v>Major</v>
          </cell>
        </row>
        <row r="353">
          <cell r="B353" t="str">
            <v>3.3.2 Labels or Instructions</v>
          </cell>
          <cell r="H353" t="str">
            <v>Major</v>
          </cell>
        </row>
        <row r="354">
          <cell r="B354" t="str">
            <v>3.3.2 Labels or Instructions</v>
          </cell>
          <cell r="H354" t="str">
            <v>Major</v>
          </cell>
        </row>
        <row r="355">
          <cell r="B355" t="str">
            <v>1.4.3 Contrast (Minimum)</v>
          </cell>
          <cell r="H355" t="str">
            <v>Major</v>
          </cell>
        </row>
        <row r="356">
          <cell r="B356" t="str">
            <v>1.4.10 Reflow (Added in 2.1)</v>
          </cell>
          <cell r="H356" t="str">
            <v>Minor</v>
          </cell>
        </row>
        <row r="357">
          <cell r="B357" t="str">
            <v>2.4.6 Headings and Labels</v>
          </cell>
          <cell r="H357" t="str">
            <v>Minor</v>
          </cell>
        </row>
        <row r="358">
          <cell r="B358" t="str">
            <v>3.3.2 Labels or Instructions</v>
          </cell>
          <cell r="H358" t="str">
            <v>Major</v>
          </cell>
        </row>
        <row r="359">
          <cell r="B359" t="str">
            <v>3.2.2 On Input</v>
          </cell>
          <cell r="H359" t="str">
            <v>Major</v>
          </cell>
        </row>
        <row r="360">
          <cell r="B360" t="str">
            <v>2.4.7 Focus Visible</v>
          </cell>
          <cell r="H360" t="str">
            <v>Minor</v>
          </cell>
        </row>
        <row r="361">
          <cell r="B361" t="str">
            <v>1.4.12 Text Spacing (Added in 2.1)</v>
          </cell>
          <cell r="H361" t="str">
            <v>Minor</v>
          </cell>
        </row>
        <row r="362">
          <cell r="B362" t="str">
            <v>1.4.11 Non-text Contrast (Added in 2.1)</v>
          </cell>
          <cell r="H362" t="str">
            <v>Low</v>
          </cell>
        </row>
        <row r="363">
          <cell r="B363" t="str">
            <v>1.4.3 Contrast (Minimum)</v>
          </cell>
          <cell r="H363" t="str">
            <v>Minor</v>
          </cell>
        </row>
        <row r="364">
          <cell r="B364" t="str">
            <v>1.4.10 Reflow (Added in 2.1)</v>
          </cell>
          <cell r="H364" t="str">
            <v>Major</v>
          </cell>
        </row>
        <row r="365">
          <cell r="B365" t="str">
            <v>1.3.1 Info and Relationships</v>
          </cell>
          <cell r="H365" t="str">
            <v>Major</v>
          </cell>
        </row>
        <row r="366">
          <cell r="B366" t="str">
            <v>2.1.1 Keyboard</v>
          </cell>
          <cell r="H366" t="str">
            <v>Blocking</v>
          </cell>
        </row>
        <row r="367">
          <cell r="B367" t="str">
            <v>2.4.11 Focus Not Obscured (Minimum) (Added in 2.2)</v>
          </cell>
          <cell r="H367" t="str">
            <v>Major</v>
          </cell>
        </row>
        <row r="368">
          <cell r="B368" t="str">
            <v>2.1.1 Keyboard</v>
          </cell>
          <cell r="H368" t="str">
            <v>Blocking</v>
          </cell>
        </row>
        <row r="369">
          <cell r="B369" t="str">
            <v>1.3.1 Info and Relationships</v>
          </cell>
        </row>
        <row r="370">
          <cell r="B370" t="str">
            <v>1.3.1 Info and Relationships</v>
          </cell>
        </row>
        <row r="371">
          <cell r="B371" t="str">
            <v>2.4.11 Focus Not Obscured (Minimum) (Added in 2.2)</v>
          </cell>
        </row>
        <row r="372">
          <cell r="B372" t="str">
            <v>1.3.1 Info and Relationships</v>
          </cell>
        </row>
        <row r="373">
          <cell r="B373" t="str">
            <v>1.3.2 Meaningful Sequence</v>
          </cell>
        </row>
        <row r="374">
          <cell r="B374" t="str">
            <v>2.1.1 Keyboard</v>
          </cell>
          <cell r="H374" t="str">
            <v>Blocking</v>
          </cell>
        </row>
        <row r="375">
          <cell r="B375" t="str">
            <v>1.3.1 Info and Relationships</v>
          </cell>
          <cell r="H375" t="str">
            <v>Critical</v>
          </cell>
        </row>
        <row r="376">
          <cell r="B376" t="str">
            <v>2.4.3 Focus Order</v>
          </cell>
          <cell r="H376" t="str">
            <v>Minor</v>
          </cell>
        </row>
        <row r="377">
          <cell r="B377" t="str">
            <v>1.3.1 Info and Relationships</v>
          </cell>
          <cell r="H377" t="str">
            <v>Major</v>
          </cell>
        </row>
        <row r="378">
          <cell r="B378" t="str">
            <v>2.4.6 Headings and Labels</v>
          </cell>
          <cell r="H378" t="str">
            <v>Major</v>
          </cell>
        </row>
        <row r="379">
          <cell r="B379" t="str">
            <v>2.1.1 Keyboard</v>
          </cell>
          <cell r="H379" t="str">
            <v>Blocking</v>
          </cell>
        </row>
        <row r="380">
          <cell r="B380" t="str">
            <v>1.4.10 Reflow (Added in 2.1)</v>
          </cell>
          <cell r="H380" t="str">
            <v>Major</v>
          </cell>
        </row>
        <row r="381">
          <cell r="B381" t="str">
            <v>1.4.3 Contrast (Minimum)</v>
          </cell>
          <cell r="H381" t="str">
            <v>Minor</v>
          </cell>
        </row>
        <row r="382">
          <cell r="B382" t="str">
            <v>1.3.5 Identify Input Purpose (Added in 2.1)</v>
          </cell>
          <cell r="H382" t="str">
            <v>Minor</v>
          </cell>
        </row>
        <row r="383">
          <cell r="B383" t="str">
            <v>1.4.11 Non-text Contrast (Added in 2.1)</v>
          </cell>
          <cell r="H383" t="str">
            <v>Minor</v>
          </cell>
        </row>
        <row r="384">
          <cell r="B384" t="str">
            <v>2.4.7 Focus Visible</v>
          </cell>
          <cell r="H384" t="str">
            <v>Major</v>
          </cell>
        </row>
        <row r="385">
          <cell r="B385" t="str">
            <v>3.3.3 Error Suggestion</v>
          </cell>
          <cell r="H385" t="str">
            <v>Minor</v>
          </cell>
        </row>
        <row r="386">
          <cell r="B386" t="str">
            <v>2.1.2 No Keyboard Trap</v>
          </cell>
          <cell r="H386" t="str">
            <v>Critical</v>
          </cell>
        </row>
        <row r="387">
          <cell r="B387" t="str">
            <v>1.3.1 Info and Relationships</v>
          </cell>
          <cell r="H387" t="str">
            <v>Low</v>
          </cell>
        </row>
        <row r="388">
          <cell r="B388" t="str">
            <v>2.1.1 Keyboard</v>
          </cell>
          <cell r="H388" t="str">
            <v>Major</v>
          </cell>
        </row>
        <row r="389">
          <cell r="B389" t="str">
            <v>2.1.1 Keyboard</v>
          </cell>
          <cell r="H389" t="str">
            <v>Minor</v>
          </cell>
        </row>
        <row r="390">
          <cell r="B390" t="str">
            <v>1.4.3 Contrast (Minimum)</v>
          </cell>
          <cell r="H390" t="str">
            <v>Minor</v>
          </cell>
        </row>
        <row r="391">
          <cell r="B391" t="str">
            <v>2.4.7 Focus Visible</v>
          </cell>
          <cell r="H391" t="str">
            <v>Minor</v>
          </cell>
        </row>
        <row r="392">
          <cell r="B392" t="str">
            <v>1.3.1 Info and Relationships</v>
          </cell>
          <cell r="H392" t="str">
            <v>Major</v>
          </cell>
        </row>
        <row r="393">
          <cell r="B393" t="str">
            <v>2.5.3 Label in Name (Added in 2.1)</v>
          </cell>
          <cell r="H393" t="str">
            <v>Minor</v>
          </cell>
        </row>
        <row r="394">
          <cell r="B394" t="str">
            <v>2.1.1 Keyboard</v>
          </cell>
          <cell r="H394" t="str">
            <v>Blocking</v>
          </cell>
        </row>
        <row r="395">
          <cell r="B395" t="str">
            <v>2.1.2 No Keyboard Trap</v>
          </cell>
          <cell r="H395" t="str">
            <v>Blocking</v>
          </cell>
        </row>
        <row r="396">
          <cell r="B396" t="str">
            <v>2.5.7 Dragging Movements (Added in 2.2)</v>
          </cell>
          <cell r="H396" t="str">
            <v>Blocking</v>
          </cell>
        </row>
        <row r="397">
          <cell r="B397" t="str">
            <v>2.4.3 Focus Order</v>
          </cell>
          <cell r="H397" t="str">
            <v>Major</v>
          </cell>
        </row>
        <row r="398">
          <cell r="B398" t="str">
            <v>1.4.3 Contrast (Minimum)</v>
          </cell>
          <cell r="H398" t="str">
            <v>Minor</v>
          </cell>
        </row>
        <row r="399">
          <cell r="B399" t="str">
            <v>1.4.10 Reflow (Added in 2.1)</v>
          </cell>
          <cell r="H399" t="str">
            <v>Major</v>
          </cell>
        </row>
        <row r="400">
          <cell r="B400" t="str">
            <v>2.4.7 Focus Visible</v>
          </cell>
          <cell r="H400" t="str">
            <v>Minor</v>
          </cell>
        </row>
        <row r="401">
          <cell r="B401" t="str">
            <v>2.5.8 Target Size (Minimum) (Added in 2.2)</v>
          </cell>
          <cell r="H401" t="str">
            <v>Critical</v>
          </cell>
        </row>
        <row r="402">
          <cell r="B402" t="str">
            <v>3.3.1 Error Identification</v>
          </cell>
          <cell r="H402" t="str">
            <v>Low</v>
          </cell>
        </row>
        <row r="403">
          <cell r="B403" t="str">
            <v>3.3.2 Labels or Instructions</v>
          </cell>
          <cell r="H403" t="str">
            <v>Major</v>
          </cell>
        </row>
        <row r="404">
          <cell r="B404" t="str">
            <v>4.1.2 Name, Role, Value</v>
          </cell>
          <cell r="H404" t="str">
            <v>Critical</v>
          </cell>
        </row>
        <row r="405">
          <cell r="B405" t="str">
            <v>4.1.3 Status Messages (Added in 2.1)</v>
          </cell>
          <cell r="H405" t="str">
            <v>Critical</v>
          </cell>
        </row>
        <row r="406">
          <cell r="B406" t="str">
            <v>2.1.1 Keyboard</v>
          </cell>
          <cell r="H406" t="str">
            <v>Blocking</v>
          </cell>
        </row>
        <row r="407">
          <cell r="B407" t="str">
            <v>1.3.1 Info and Relationships</v>
          </cell>
          <cell r="H407" t="str">
            <v>Major</v>
          </cell>
        </row>
        <row r="408">
          <cell r="B408" t="str">
            <v>1.3.2 Meaningful Sequence</v>
          </cell>
          <cell r="H408" t="str">
            <v>Major</v>
          </cell>
        </row>
        <row r="409">
          <cell r="B409" t="str">
            <v>2.1.1 Keyboard</v>
          </cell>
          <cell r="H409" t="str">
            <v>Minor</v>
          </cell>
        </row>
        <row r="410">
          <cell r="B410" t="str">
            <v>2.1.1 Keyboard</v>
          </cell>
          <cell r="H410" t="str">
            <v>Minor</v>
          </cell>
        </row>
        <row r="411">
          <cell r="B411" t="str">
            <v>4.1.3 Status Messages (Added in 2.1)</v>
          </cell>
          <cell r="H411" t="str">
            <v>Major</v>
          </cell>
        </row>
        <row r="412">
          <cell r="B412" t="str">
            <v>1.3.1 Info and Relationships</v>
          </cell>
          <cell r="H412" t="str">
            <v>Minor</v>
          </cell>
        </row>
        <row r="413">
          <cell r="B413" t="str">
            <v>2.4.11 Focus Not Obscured (Minimum) (Added in 2.2)</v>
          </cell>
          <cell r="H413" t="str">
            <v>Major</v>
          </cell>
        </row>
        <row r="414">
          <cell r="B414" t="str">
            <v>1.4.10 Reflow (Added in 2.1)</v>
          </cell>
          <cell r="H414" t="str">
            <v>Major</v>
          </cell>
        </row>
        <row r="415">
          <cell r="B415" t="str">
            <v>1.4.10 Reflow (Added in 2.1)</v>
          </cell>
          <cell r="H415" t="str">
            <v>Critical</v>
          </cell>
        </row>
        <row r="416">
          <cell r="B416" t="str">
            <v>1.4.10 Reflow (Added in 2.1)</v>
          </cell>
          <cell r="H416" t="str">
            <v>Minor</v>
          </cell>
        </row>
        <row r="417">
          <cell r="B417" t="str">
            <v>1.4.4 Resize text</v>
          </cell>
          <cell r="H417" t="str">
            <v>Major</v>
          </cell>
        </row>
        <row r="418">
          <cell r="B418" t="str">
            <v>1.4.3 Contrast (Minimum)</v>
          </cell>
          <cell r="H418" t="str">
            <v>Minor</v>
          </cell>
        </row>
        <row r="419">
          <cell r="B419" t="str">
            <v>2.4.3 Focus Order</v>
          </cell>
          <cell r="H419" t="str">
            <v>Major</v>
          </cell>
        </row>
        <row r="420">
          <cell r="B420" t="str">
            <v>1.3.1 Info and Relationships</v>
          </cell>
          <cell r="H420" t="str">
            <v>Minor</v>
          </cell>
        </row>
        <row r="421">
          <cell r="B421" t="str">
            <v>2.4.7 Focus Visible</v>
          </cell>
          <cell r="H421" t="str">
            <v>Minor</v>
          </cell>
        </row>
        <row r="422">
          <cell r="B422" t="str">
            <v>1.4.3 Contrast (Minimum)</v>
          </cell>
          <cell r="H422" t="str">
            <v>Minor</v>
          </cell>
        </row>
        <row r="423">
          <cell r="B423" t="str">
            <v>1.4.10 Reflow (Added in 2.1)</v>
          </cell>
          <cell r="H423" t="str">
            <v>Major</v>
          </cell>
        </row>
        <row r="424">
          <cell r="B424" t="str">
            <v>1.4.4 Resize text</v>
          </cell>
          <cell r="H424" t="str">
            <v>Major</v>
          </cell>
        </row>
        <row r="425">
          <cell r="B425" t="str">
            <v>2.4.11 Focus Not Obscured (Minimum) (Added in 2.2)</v>
          </cell>
          <cell r="H425" t="str">
            <v>Critical</v>
          </cell>
        </row>
        <row r="426">
          <cell r="B426" t="str">
            <v>2.4.3 Focus Order</v>
          </cell>
          <cell r="H426" t="str">
            <v>Low</v>
          </cell>
        </row>
        <row r="427">
          <cell r="B427" t="str">
            <v>1.3.1 Info and Relationships</v>
          </cell>
          <cell r="H427" t="str">
            <v>Minor</v>
          </cell>
        </row>
        <row r="428">
          <cell r="B428" t="str">
            <v>2.1.1 Keyboard</v>
          </cell>
          <cell r="H428" t="str">
            <v>Blocking</v>
          </cell>
        </row>
        <row r="429">
          <cell r="B429" t="str">
            <v>3.3.2 Labels or Instructions</v>
          </cell>
          <cell r="H429" t="str">
            <v>Critical</v>
          </cell>
        </row>
        <row r="430">
          <cell r="B430" t="str">
            <v>4.1.3 Status Messages (Added in 2.1)</v>
          </cell>
          <cell r="H430" t="str">
            <v>Critical</v>
          </cell>
        </row>
        <row r="431">
          <cell r="B431" t="str">
            <v>2.4.3 Focus Order</v>
          </cell>
          <cell r="H431" t="str">
            <v>Major</v>
          </cell>
        </row>
        <row r="432">
          <cell r="B432" t="str">
            <v>3.3.1 Error Identification</v>
          </cell>
          <cell r="H432" t="str">
            <v>Blocking</v>
          </cell>
        </row>
        <row r="433">
          <cell r="B433" t="str">
            <v>1.3.1 Info and Relationships</v>
          </cell>
          <cell r="H433" t="str">
            <v>Critical</v>
          </cell>
        </row>
        <row r="434">
          <cell r="B434" t="str">
            <v>1.1.1 Non-text Content</v>
          </cell>
          <cell r="H434" t="str">
            <v>Minor</v>
          </cell>
        </row>
        <row r="435">
          <cell r="B435" t="str">
            <v>1.4.5 Images of Text</v>
          </cell>
          <cell r="H435" t="str">
            <v>Major</v>
          </cell>
        </row>
        <row r="436">
          <cell r="B436" t="str">
            <v>1.4.3 Contrast (Minimum)</v>
          </cell>
          <cell r="H436" t="str">
            <v>Major</v>
          </cell>
        </row>
        <row r="437">
          <cell r="B437" t="str">
            <v>1.4.1 Use of Color</v>
          </cell>
          <cell r="H437" t="str">
            <v>Major</v>
          </cell>
        </row>
        <row r="438">
          <cell r="B438" t="str">
            <v>1.4.11 Non-text Contrast (Added in 2.1)</v>
          </cell>
          <cell r="H438" t="str">
            <v>Major</v>
          </cell>
        </row>
        <row r="439">
          <cell r="B439" t="str">
            <v>2.1.1 Keyboard</v>
          </cell>
          <cell r="H439" t="str">
            <v>Critical</v>
          </cell>
        </row>
        <row r="440">
          <cell r="B440" t="str">
            <v>1.3.1 Info and Relationships</v>
          </cell>
          <cell r="H440" t="str">
            <v>Minor</v>
          </cell>
        </row>
        <row r="441">
          <cell r="B441" t="str">
            <v>2.5.8 Target Size (Minimum) (Added in 2.2)</v>
          </cell>
          <cell r="H441" t="str">
            <v>Minor</v>
          </cell>
        </row>
        <row r="442">
          <cell r="B442" t="str">
            <v>3.3.2 Labels or Instructions</v>
          </cell>
          <cell r="H442" t="str">
            <v>Major</v>
          </cell>
        </row>
        <row r="443">
          <cell r="B443" t="str">
            <v>4.1.2 Name, Role, Value</v>
          </cell>
          <cell r="H443" t="str">
            <v>Major</v>
          </cell>
        </row>
        <row r="444">
          <cell r="B444" t="str">
            <v>2.4.11 Focus Not Obscured (Minimum) (Added in 2.2)</v>
          </cell>
          <cell r="H444" t="str">
            <v>Major</v>
          </cell>
        </row>
        <row r="445">
          <cell r="B445" t="str">
            <v>2.4.7 Focus Visible</v>
          </cell>
          <cell r="H445" t="str">
            <v>Major</v>
          </cell>
        </row>
        <row r="446">
          <cell r="B446" t="str">
            <v>2.1.1 Keyboard</v>
          </cell>
          <cell r="H446" t="str">
            <v>Blocking</v>
          </cell>
        </row>
        <row r="447">
          <cell r="B447" t="str">
            <v>2.1.1 Keyboard</v>
          </cell>
          <cell r="H447" t="str">
            <v>Critical</v>
          </cell>
        </row>
        <row r="448">
          <cell r="B448" t="str">
            <v>1.3.1 Info and Relationships</v>
          </cell>
          <cell r="H448" t="str">
            <v>Major</v>
          </cell>
        </row>
        <row r="449">
          <cell r="B449" t="str">
            <v>1.3.1 Info and Relationships</v>
          </cell>
          <cell r="H449" t="str">
            <v>Major</v>
          </cell>
        </row>
        <row r="450">
          <cell r="B450" t="str">
            <v>1.3.1 Info and Relationships</v>
          </cell>
          <cell r="H450" t="str">
            <v>Minor</v>
          </cell>
        </row>
        <row r="451">
          <cell r="B451" t="str">
            <v>1.4.4 Resize text</v>
          </cell>
          <cell r="H451" t="str">
            <v>Minor</v>
          </cell>
        </row>
        <row r="452">
          <cell r="B452" t="str">
            <v>2.1.1 Keyboard</v>
          </cell>
          <cell r="H452" t="str">
            <v>Critical</v>
          </cell>
        </row>
        <row r="453">
          <cell r="B453" t="str">
            <v>1.4.12 Text Spacing (Added in 2.1)</v>
          </cell>
          <cell r="H453" t="str">
            <v>Blocking</v>
          </cell>
        </row>
        <row r="454">
          <cell r="B454" t="str">
            <v>2.1.1 Keyboard</v>
          </cell>
          <cell r="H454" t="str">
            <v>Blocking</v>
          </cell>
        </row>
        <row r="455">
          <cell r="B455" t="str">
            <v>2.4.7 Focus Visible</v>
          </cell>
          <cell r="H455" t="str">
            <v>Major</v>
          </cell>
        </row>
        <row r="456">
          <cell r="B456" t="str">
            <v>2.1.1 Keyboard</v>
          </cell>
          <cell r="H456" t="str">
            <v>Blocking</v>
          </cell>
        </row>
        <row r="457">
          <cell r="B457" t="str">
            <v>3.3.1 Error Identification</v>
          </cell>
          <cell r="H457" t="str">
            <v>Critical</v>
          </cell>
        </row>
        <row r="458">
          <cell r="B458" t="str">
            <v>1.3.1 Info and Relationships</v>
          </cell>
          <cell r="H458" t="str">
            <v>Major</v>
          </cell>
        </row>
        <row r="459">
          <cell r="B459" t="str">
            <v>1.4.3 Contrast (Minimum)</v>
          </cell>
          <cell r="H459" t="str">
            <v>Minor</v>
          </cell>
        </row>
        <row r="460">
          <cell r="B460" t="str">
            <v>1.3.1 Info and Relationships</v>
          </cell>
          <cell r="H460" t="str">
            <v>Major</v>
          </cell>
        </row>
        <row r="461">
          <cell r="B461" t="str">
            <v>1.4.4 Resize text</v>
          </cell>
          <cell r="H461" t="str">
            <v>Major</v>
          </cell>
        </row>
        <row r="462">
          <cell r="B462" t="str">
            <v>1.4.12 Text Spacing (Added in 2.1)</v>
          </cell>
          <cell r="H462" t="str">
            <v>Minor</v>
          </cell>
        </row>
        <row r="463">
          <cell r="B463" t="str">
            <v>4.1.2 Name, Role, Value</v>
          </cell>
          <cell r="H463" t="str">
            <v>Low</v>
          </cell>
        </row>
        <row r="464">
          <cell r="B464" t="str">
            <v>4.1.3 Status Messages (Added in 2.1)</v>
          </cell>
          <cell r="H464" t="str">
            <v>Major</v>
          </cell>
        </row>
        <row r="465">
          <cell r="B465" t="str">
            <v>2.1.1 Keyboard</v>
          </cell>
          <cell r="H465" t="str">
            <v>Blocking</v>
          </cell>
        </row>
        <row r="466">
          <cell r="B466" t="str">
            <v>2.1.1 Keyboard</v>
          </cell>
          <cell r="H466" t="str">
            <v>Blocking</v>
          </cell>
        </row>
        <row r="467">
          <cell r="B467" t="str">
            <v>2.1.1 Keyboard</v>
          </cell>
          <cell r="H467" t="str">
            <v>Minor</v>
          </cell>
        </row>
        <row r="468">
          <cell r="B468" t="str">
            <v>1.3.1 Info and Relationships</v>
          </cell>
          <cell r="H468" t="str">
            <v>Major</v>
          </cell>
        </row>
        <row r="469">
          <cell r="B469" t="str">
            <v>1.3.1 Info and Relationships</v>
          </cell>
          <cell r="H469" t="str">
            <v>Major</v>
          </cell>
        </row>
        <row r="470">
          <cell r="B470" t="str">
            <v>3.2.4 Consistent Identification</v>
          </cell>
          <cell r="H470" t="str">
            <v>Minor</v>
          </cell>
        </row>
        <row r="471">
          <cell r="B471" t="str">
            <v>1.3.1 Info and Relationships</v>
          </cell>
          <cell r="H471" t="str">
            <v>Major</v>
          </cell>
        </row>
        <row r="472">
          <cell r="B472" t="str">
            <v>1.1.1 Non-text Content</v>
          </cell>
          <cell r="H472" t="str">
            <v>Minor</v>
          </cell>
        </row>
        <row r="473">
          <cell r="B473" t="str">
            <v>1.4.10 Reflow (Added in 2.1)</v>
          </cell>
          <cell r="H473" t="str">
            <v>Minor</v>
          </cell>
        </row>
        <row r="474">
          <cell r="B474" t="str">
            <v>1.4.4 Resize text</v>
          </cell>
          <cell r="H474" t="str">
            <v>Minor</v>
          </cell>
        </row>
        <row r="475">
          <cell r="B475" t="str">
            <v>2.4.3 Focus Order</v>
          </cell>
          <cell r="H475" t="str">
            <v>Major</v>
          </cell>
        </row>
        <row r="476">
          <cell r="B476" t="str">
            <v>2.4.7 Focus Visible</v>
          </cell>
          <cell r="H476" t="str">
            <v>Minor</v>
          </cell>
        </row>
        <row r="477">
          <cell r="B477" t="str">
            <v>3.3.1 Error Identification</v>
          </cell>
          <cell r="H477" t="str">
            <v>Critical</v>
          </cell>
        </row>
        <row r="478">
          <cell r="B478" t="str">
            <v>4.1.2 Name, Role, Value</v>
          </cell>
          <cell r="H478" t="str">
            <v>Major</v>
          </cell>
        </row>
        <row r="479">
          <cell r="B479" t="str">
            <v>4.1.3 Status Messages (Added in 2.1)</v>
          </cell>
          <cell r="H479" t="str">
            <v>Major</v>
          </cell>
        </row>
        <row r="480">
          <cell r="B480" t="str">
            <v>2.4.11 Focus Not Obscured (Minimum) (Added in 2.2)</v>
          </cell>
          <cell r="H480" t="str">
            <v>Minor</v>
          </cell>
        </row>
        <row r="481">
          <cell r="B481" t="str">
            <v>4.1.3 Status Messages (Added in 2.1)</v>
          </cell>
          <cell r="H481" t="str">
            <v>Major</v>
          </cell>
        </row>
        <row r="482">
          <cell r="B482" t="str">
            <v>1.3.2 Meaningful Sequence</v>
          </cell>
          <cell r="H482" t="str">
            <v>Informational</v>
          </cell>
        </row>
        <row r="483">
          <cell r="B483" t="str">
            <v>2.1.1 Keyboard</v>
          </cell>
          <cell r="H483" t="str">
            <v>Blocking</v>
          </cell>
        </row>
        <row r="484">
          <cell r="B484" t="str">
            <v>1.4.4 Resize text</v>
          </cell>
          <cell r="H484" t="str">
            <v>Minor</v>
          </cell>
        </row>
        <row r="485">
          <cell r="B485" t="str">
            <v>1.4.3 Contrast (Minimum)</v>
          </cell>
          <cell r="H485" t="str">
            <v>Minor</v>
          </cell>
        </row>
        <row r="486">
          <cell r="B486" t="str">
            <v>1.3.1 Info and Relationships</v>
          </cell>
          <cell r="H486" t="str">
            <v>Major</v>
          </cell>
        </row>
        <row r="487">
          <cell r="B487" t="str">
            <v>1.3.1 Info and Relationships</v>
          </cell>
          <cell r="H487" t="str">
            <v>Major</v>
          </cell>
        </row>
        <row r="488">
          <cell r="B488" t="str">
            <v>3.3.2 Labels or Instructions</v>
          </cell>
          <cell r="H488" t="str">
            <v>Major</v>
          </cell>
        </row>
        <row r="489">
          <cell r="B489" t="str">
            <v>3.3.1 Error Identification</v>
          </cell>
          <cell r="H489" t="str">
            <v>Major</v>
          </cell>
        </row>
        <row r="490">
          <cell r="B490" t="str">
            <v>3.3.1 Error Identification</v>
          </cell>
          <cell r="H490" t="str">
            <v>Minor</v>
          </cell>
        </row>
        <row r="491">
          <cell r="B491" t="str">
            <v>1.3.1 Info and Relationships</v>
          </cell>
          <cell r="H491" t="str">
            <v>Major</v>
          </cell>
        </row>
        <row r="492">
          <cell r="B492" t="str">
            <v>2.4.3 Focus Order</v>
          </cell>
          <cell r="H492" t="str">
            <v>Major</v>
          </cell>
        </row>
        <row r="493">
          <cell r="B493" t="str">
            <v>2.4.3 Focus Order</v>
          </cell>
          <cell r="H493" t="str">
            <v>Major</v>
          </cell>
        </row>
        <row r="494">
          <cell r="B494" t="str">
            <v>2.4.3 Focus Order</v>
          </cell>
          <cell r="H494" t="str">
            <v>Major</v>
          </cell>
        </row>
        <row r="495">
          <cell r="B495" t="str">
            <v>1.3.1 Info and Relationships</v>
          </cell>
          <cell r="H495" t="str">
            <v>Major</v>
          </cell>
        </row>
        <row r="496">
          <cell r="B496" t="str">
            <v>1.4.11 Non-text Contrast (Added in 2.1)</v>
          </cell>
          <cell r="H496" t="str">
            <v>Minor</v>
          </cell>
        </row>
        <row r="497">
          <cell r="B497" t="str">
            <v>1.4.3 Contrast (Minimum)</v>
          </cell>
          <cell r="H497" t="str">
            <v>Low</v>
          </cell>
        </row>
        <row r="498">
          <cell r="B498" t="str">
            <v>2.4.11 Focus Not Obscured (Minimum) (Added in 2.2)</v>
          </cell>
          <cell r="H498" t="str">
            <v>Major</v>
          </cell>
        </row>
        <row r="499">
          <cell r="B499" t="str">
            <v>1.3.1 Info and Relationships</v>
          </cell>
          <cell r="H499" t="str">
            <v>Major</v>
          </cell>
        </row>
        <row r="500">
          <cell r="B500" t="str">
            <v>4.1.3 Status Messages (Added in 2.1)</v>
          </cell>
          <cell r="H500" t="str">
            <v>Major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Scope"/>
      <sheetName val="Tasks"/>
      <sheetName val="WebAlign® Core Concepts"/>
      <sheetName val="WCAG Testing Checklist"/>
      <sheetName val="Background Data"/>
    </sheetNames>
    <sheetDataSet>
      <sheetData sheetId="0"/>
      <sheetData sheetId="1">
        <row r="2">
          <cell r="A2" t="str">
            <v>All Pages</v>
          </cell>
        </row>
        <row r="3">
          <cell r="A3" t="str">
            <v>Login</v>
          </cell>
        </row>
        <row r="4">
          <cell r="A4" t="str">
            <v>Colocation Overview</v>
          </cell>
        </row>
        <row r="5">
          <cell r="A5" t="str">
            <v>Orders &amp; Tickets History</v>
          </cell>
        </row>
        <row r="6">
          <cell r="A6" t="str">
            <v>Order Details Page</v>
          </cell>
        </row>
        <row r="7">
          <cell r="A7" t="str">
            <v>Respond to Action Required</v>
          </cell>
        </row>
        <row r="8">
          <cell r="A8" t="str">
            <v>Inventory (Install Base)</v>
          </cell>
        </row>
        <row r="9">
          <cell r="A9" t="str">
            <v>Colocation Assets</v>
          </cell>
        </row>
        <row r="10">
          <cell r="A10" t="str">
            <v>Secure Cab</v>
          </cell>
        </row>
        <row r="11">
          <cell r="A11" t="str">
            <v>Patch Panel</v>
          </cell>
        </row>
        <row r="12">
          <cell r="A12" t="str">
            <v>Order Power Circuit</v>
          </cell>
        </row>
        <row r="13">
          <cell r="A13" t="str">
            <v>Order Accessories</v>
          </cell>
        </row>
        <row r="14">
          <cell r="A14" t="str">
            <v>Cross Connects</v>
          </cell>
        </row>
        <row r="15">
          <cell r="A15" t="str">
            <v>Extended Fiber Connect</v>
          </cell>
        </row>
        <row r="16">
          <cell r="A16" t="str">
            <v>Metro Connect</v>
          </cell>
        </row>
        <row r="17">
          <cell r="A17" t="str">
            <v>Network Ports &gt; Internet Exchange Port</v>
          </cell>
        </row>
        <row r="18">
          <cell r="A18" t="str">
            <v>Network Ports &gt; Fabric port</v>
          </cell>
        </row>
        <row r="19">
          <cell r="A19" t="str">
            <v>Network Ports &gt; Equinix Internet Access</v>
          </cell>
        </row>
        <row r="20">
          <cell r="A20" t="str">
            <v>Smart Hands Catalog</v>
          </cell>
        </row>
        <row r="21">
          <cell r="A21" t="str">
            <v>Smart Hands &gt; Install Equipment</v>
          </cell>
        </row>
        <row r="22">
          <cell r="A22" t="str">
            <v>Smart Hands &gt; Move/Replace Equipment</v>
          </cell>
        </row>
        <row r="23">
          <cell r="A23" t="str">
            <v>Smart Hands &gt; Remove Equipment</v>
          </cell>
        </row>
        <row r="24">
          <cell r="A24" t="str">
            <v>Smart Hands &gt; Equipment Maintenance</v>
          </cell>
        </row>
        <row r="25">
          <cell r="A25" t="str">
            <v>Smart Hands &gt; Power Cycle Equipment</v>
          </cell>
        </row>
        <row r="26">
          <cell r="A26" t="str">
            <v>Smart Hands &gt; Install Cables</v>
          </cell>
        </row>
        <row r="27">
          <cell r="A27" t="str">
            <v>Smart Hands &gt; Move Cables</v>
          </cell>
        </row>
        <row r="28">
          <cell r="A28" t="str">
            <v>Smart Hands &gt; Remove Cables</v>
          </cell>
        </row>
        <row r="29">
          <cell r="A29" t="str">
            <v>Inbound Shipment</v>
          </cell>
        </row>
        <row r="30">
          <cell r="A30" t="str">
            <v>Outbound Shipment</v>
          </cell>
        </row>
        <row r="31">
          <cell r="A31" t="str">
            <v>Smart Hands &gt; Locate Packages</v>
          </cell>
        </row>
        <row r="32">
          <cell r="A32" t="str">
            <v>Smart Hands &gt; Cage Cleanup</v>
          </cell>
        </row>
        <row r="33">
          <cell r="A33" t="str">
            <v>Smart Hands &gt; Request Photos</v>
          </cell>
        </row>
        <row r="34">
          <cell r="A34" t="str">
            <v>Smart Hands &gt; Physical Audit</v>
          </cell>
        </row>
        <row r="35">
          <cell r="A35" t="str">
            <v>Smart Hands &gt; Cage/Roof Access</v>
          </cell>
        </row>
        <row r="36">
          <cell r="A36" t="str">
            <v>Smart Hands &gt; Smart Hands Support Plan Order</v>
          </cell>
        </row>
        <row r="37">
          <cell r="A37" t="str">
            <v>Smart Hands &gt; Power Sevices</v>
          </cell>
        </row>
        <row r="38">
          <cell r="A38" t="str">
            <v>Smart Hands &gt; Large Order</v>
          </cell>
        </row>
        <row r="39">
          <cell r="A39" t="str">
            <v>Smart Hands &gt; Recurring Tape Rotation</v>
          </cell>
        </row>
        <row r="40">
          <cell r="A40" t="str">
            <v>Smart Hands &gt; IBX Information Request</v>
          </cell>
        </row>
        <row r="41">
          <cell r="A41" t="str">
            <v>Smart Hands &gt; Responsible Electronic Disposal</v>
          </cell>
        </row>
        <row r="42">
          <cell r="A42" t="str">
            <v>Smart Hands &gt; Loopback Test</v>
          </cell>
        </row>
        <row r="43">
          <cell r="A43" t="str">
            <v>Smart Hands &gt; Cable Connectivity Check</v>
          </cell>
        </row>
        <row r="44">
          <cell r="A44" t="str">
            <v>Smart Hands &gt; Remote Console</v>
          </cell>
        </row>
        <row r="45">
          <cell r="A45" t="str">
            <v>Smart Hands &gt; Other</v>
          </cell>
        </row>
        <row r="46">
          <cell r="A46" t="str">
            <v>Smart Hands &gt; Other (Recurring)</v>
          </cell>
        </row>
        <row r="47">
          <cell r="A47" t="str">
            <v>Smart Hands &gt; Smart Hands Reports</v>
          </cell>
        </row>
        <row r="48">
          <cell r="A48" t="str">
            <v>Smart Hands Support Plan</v>
          </cell>
        </row>
        <row r="49">
          <cell r="A49" t="str">
            <v>Trouble Ticket</v>
          </cell>
        </row>
        <row r="50">
          <cell r="A50" t="str">
            <v>Work Visits</v>
          </cell>
        </row>
        <row r="51">
          <cell r="A51" t="str">
            <v>Billing History</v>
          </cell>
        </row>
        <row r="52">
          <cell r="A52" t="str">
            <v>Purchase Orders</v>
          </cell>
        </row>
        <row r="53">
          <cell r="A53" t="str">
            <v>Equinix Status</v>
          </cell>
        </row>
        <row r="54">
          <cell r="A54" t="str">
            <v>Fabric Overview</v>
          </cell>
        </row>
        <row r="55">
          <cell r="A55" t="str">
            <v>Fabric &gt; Connections &gt; Create Connection</v>
          </cell>
        </row>
        <row r="56">
          <cell r="A56" t="str">
            <v>Fabric &gt; Connections &gt; Connection Inventory</v>
          </cell>
        </row>
        <row r="57">
          <cell r="A57" t="str">
            <v>Fabric &gt; Connections &gt; Create Network</v>
          </cell>
        </row>
        <row r="58">
          <cell r="A58" t="str">
            <v>Fabric &gt; Ports &gt; Order Port</v>
          </cell>
        </row>
        <row r="59">
          <cell r="A59" t="str">
            <v>Fabric &gt; Ports &gt; Port Inventory</v>
          </cell>
        </row>
        <row r="60">
          <cell r="A60" t="str">
            <v>Fabric &gt; Ports &gt; Order History</v>
          </cell>
        </row>
        <row r="61">
          <cell r="A61" t="str">
            <v>Fabric &gt; Create Connection</v>
          </cell>
        </row>
        <row r="62">
          <cell r="A62" t="str">
            <v>Fabric &gt; Cloud Routers &gt; Create</v>
          </cell>
        </row>
        <row r="63">
          <cell r="A63" t="str">
            <v>Fabric &gt; Cloud Routers &gt; FCR Inventory</v>
          </cell>
        </row>
        <row r="64">
          <cell r="A64" t="str">
            <v>Fabric &gt; Cloud Routers &gt; Route Filter Policy Manager</v>
          </cell>
        </row>
        <row r="65">
          <cell r="A65" t="str">
            <v>Fabric &gt; Precision Time &gt; Create</v>
          </cell>
        </row>
        <row r="66">
          <cell r="A66" t="str">
            <v>Fabric &gt; Precision Time &gt; Inventory</v>
          </cell>
        </row>
        <row r="67">
          <cell r="A67" t="str">
            <v>Fabric &gt; Service Token &gt; Create</v>
          </cell>
        </row>
        <row r="68">
          <cell r="A68" t="str">
            <v>Fabric &gt; Service Token &gt; Redeem</v>
          </cell>
        </row>
        <row r="69">
          <cell r="A69" t="str">
            <v>Fabric &gt; Service Token &gt; Inventory</v>
          </cell>
        </row>
        <row r="70">
          <cell r="A70" t="str">
            <v>Fabric &gt; Fabric Pricing Calc</v>
          </cell>
        </row>
        <row r="71">
          <cell r="A71" t="str">
            <v>Fabric &gt; Inventory</v>
          </cell>
        </row>
        <row r="72">
          <cell r="A72" t="str">
            <v>Fabric &gt; Administration &gt; Account Management</v>
          </cell>
        </row>
        <row r="73">
          <cell r="A73" t="str">
            <v>Fabric &gt; Administration &gt; Create Service Profile</v>
          </cell>
        </row>
        <row r="74">
          <cell r="A74" t="str">
            <v>Fabric &gt; Administration &gt; My Service Profile</v>
          </cell>
        </row>
        <row r="75">
          <cell r="A75" t="str">
            <v>Fabric &gt; Network Edge &gt; Create Virtual Device</v>
          </cell>
        </row>
        <row r="76">
          <cell r="A76" t="str">
            <v>Solution Builder</v>
          </cell>
        </row>
        <row r="77">
          <cell r="A77" t="str">
            <v>Solution Diagram List View</v>
          </cell>
        </row>
        <row r="78">
          <cell r="A78" t="str">
            <v>Metal &gt; Deploy Bare Metal Servers</v>
          </cell>
        </row>
        <row r="79">
          <cell r="A79" t="str">
            <v>Metal &gt; Storage</v>
          </cell>
        </row>
        <row r="80">
          <cell r="A80" t="str">
            <v>Metal &gt; Networking</v>
          </cell>
        </row>
        <row r="81">
          <cell r="A81" t="str">
            <v>Interconnections</v>
          </cell>
        </row>
        <row r="82">
          <cell r="A82" t="str">
            <v>Project Settings</v>
          </cell>
        </row>
        <row r="83">
          <cell r="A83" t="str">
            <v>Org Selector</v>
          </cell>
        </row>
        <row r="84">
          <cell r="A84" t="str">
            <v>Project Selector</v>
          </cell>
        </row>
        <row r="85">
          <cell r="A85" t="str">
            <v>Live Chat</v>
          </cell>
        </row>
        <row r="86">
          <cell r="A86" t="str">
            <v>Help &amp; Support</v>
          </cell>
        </row>
        <row r="87">
          <cell r="A87" t="str">
            <v>Notifications</v>
          </cell>
        </row>
      </sheetData>
      <sheetData sheetId="2"/>
      <sheetData sheetId="3"/>
      <sheetData sheetId="4"/>
      <sheetData sheetId="5">
        <row r="2">
          <cell r="A2" t="str">
            <v>1.1.1 Non-text Content</v>
          </cell>
          <cell r="F2" t="str">
            <v>Blocking</v>
          </cell>
          <cell r="G2" t="str">
            <v>All Users</v>
          </cell>
        </row>
        <row r="3">
          <cell r="A3" t="str">
            <v>1.2.1 Audio-only and Video-only (Prerecorded)</v>
          </cell>
          <cell r="F3" t="str">
            <v>Critical</v>
          </cell>
          <cell r="G3" t="str">
            <v>Blind</v>
          </cell>
        </row>
        <row r="4">
          <cell r="A4" t="str">
            <v>1.2.2 Captions (Prerecorded)</v>
          </cell>
          <cell r="F4" t="str">
            <v>Major</v>
          </cell>
          <cell r="G4" t="str">
            <v>Cognitive</v>
          </cell>
        </row>
        <row r="5">
          <cell r="A5" t="str">
            <v>1.2.3 Audio Description or Media Alternative (Prerecorded)</v>
          </cell>
          <cell r="F5" t="str">
            <v>Minor</v>
          </cell>
          <cell r="G5" t="str">
            <v>Color Blind</v>
          </cell>
        </row>
        <row r="6">
          <cell r="A6" t="str">
            <v>1.2.4 Captions (Live)</v>
          </cell>
          <cell r="F6" t="str">
            <v>Low</v>
          </cell>
          <cell r="G6" t="str">
            <v>Deaf</v>
          </cell>
        </row>
        <row r="7">
          <cell r="A7" t="str">
            <v>1.2.5 Audio Description (Prerecorded)</v>
          </cell>
          <cell r="F7" t="str">
            <v>Informational</v>
          </cell>
          <cell r="G7" t="str">
            <v>Low Vision</v>
          </cell>
        </row>
        <row r="8">
          <cell r="A8" t="str">
            <v>1.3.1 Info and Relationships</v>
          </cell>
          <cell r="G8" t="str">
            <v>Motor</v>
          </cell>
        </row>
        <row r="9">
          <cell r="A9" t="str">
            <v>1.3.2 Meaningful Sequence</v>
          </cell>
          <cell r="G9" t="str">
            <v>Photosensitive Epilepsy</v>
          </cell>
        </row>
        <row r="10">
          <cell r="A10" t="str">
            <v>1.3.3 Sensory Characteristics</v>
          </cell>
        </row>
        <row r="11">
          <cell r="A11" t="str">
            <v>1.3.4 Orientation (Added in 2.1)</v>
          </cell>
        </row>
        <row r="12">
          <cell r="A12" t="str">
            <v>1.3.5 Identify Input Purpose (Added in 2.1)</v>
          </cell>
        </row>
        <row r="13">
          <cell r="A13" t="str">
            <v>1.4.1 Use of Color</v>
          </cell>
        </row>
        <row r="14">
          <cell r="A14" t="str">
            <v>1.4.2 Audio Control</v>
          </cell>
        </row>
        <row r="15">
          <cell r="A15" t="str">
            <v>1.4.3 Contrast (Minimum)</v>
          </cell>
        </row>
        <row r="16">
          <cell r="A16" t="str">
            <v>1.4.4 Resize text</v>
          </cell>
        </row>
        <row r="17">
          <cell r="A17" t="str">
            <v>1.4.5 Images of Text</v>
          </cell>
        </row>
        <row r="18">
          <cell r="A18" t="str">
            <v>1.4.10 Reflow (Added in 2.1)</v>
          </cell>
        </row>
        <row r="19">
          <cell r="A19" t="str">
            <v>1.4.11 Non-text Contrast (Added in 2.1)</v>
          </cell>
        </row>
        <row r="20">
          <cell r="A20" t="str">
            <v>1.4.12 Text Spacing (Added in 2.1)</v>
          </cell>
        </row>
        <row r="21">
          <cell r="A21" t="str">
            <v>1.4.13 Content on Hover or Focus (Added in 2.1)</v>
          </cell>
        </row>
        <row r="22">
          <cell r="A22" t="str">
            <v>2.1.1 Keyboard</v>
          </cell>
        </row>
        <row r="23">
          <cell r="A23" t="str">
            <v>2.1.2 No Keyboard Trap</v>
          </cell>
        </row>
        <row r="24">
          <cell r="A24" t="str">
            <v>2.1.4 Character Key Shortcuts (Added in 2.1)</v>
          </cell>
        </row>
        <row r="25">
          <cell r="A25" t="str">
            <v>2.2.1 Timing Adjustable</v>
          </cell>
        </row>
        <row r="26">
          <cell r="A26" t="str">
            <v>2.2.2 Pause, Stop, Hide</v>
          </cell>
        </row>
        <row r="27">
          <cell r="A27" t="str">
            <v>2.3.1 Three Flashes or Below Threshold</v>
          </cell>
        </row>
        <row r="28">
          <cell r="A28" t="str">
            <v>2.4.1 Bypass Blocks</v>
          </cell>
        </row>
        <row r="29">
          <cell r="A29" t="str">
            <v>2.4.2 Page Titled</v>
          </cell>
        </row>
        <row r="30">
          <cell r="A30" t="str">
            <v>2.4.3 Focus Order</v>
          </cell>
        </row>
        <row r="31">
          <cell r="A31" t="str">
            <v>2.4.4 Link Purpose (In Context)</v>
          </cell>
        </row>
        <row r="32">
          <cell r="A32" t="str">
            <v>2.4.5 Multiple Ways</v>
          </cell>
        </row>
        <row r="33">
          <cell r="A33" t="str">
            <v>2.4.6 Headings and Labels</v>
          </cell>
        </row>
        <row r="34">
          <cell r="A34" t="str">
            <v>2.4.7 Focus Visible</v>
          </cell>
        </row>
        <row r="35">
          <cell r="A35" t="str">
            <v>2.4.11 Focus Not Obscured (Minimum) (Added in 2.2)</v>
          </cell>
        </row>
        <row r="36">
          <cell r="A36" t="str">
            <v>2.5.1 Pointer Gestures (Added in 2.1)</v>
          </cell>
        </row>
        <row r="37">
          <cell r="A37" t="str">
            <v>2.5.2 Pointer Cancellation (Added in 2.1)</v>
          </cell>
        </row>
        <row r="38">
          <cell r="A38" t="str">
            <v>2.5.3 Label in Name (Added in 2.1)</v>
          </cell>
        </row>
        <row r="39">
          <cell r="A39" t="str">
            <v>2.5.4 Motion Actuation (Added in 2.1)</v>
          </cell>
        </row>
        <row r="40">
          <cell r="A40" t="str">
            <v>2.5.7 Dragging Movements (Added in 2.2)</v>
          </cell>
        </row>
        <row r="41">
          <cell r="A41" t="str">
            <v>2.5.8 Target Size (Minimum) (Added in 2.2)</v>
          </cell>
        </row>
        <row r="42">
          <cell r="A42" t="str">
            <v>3.1.1 Language of Page</v>
          </cell>
        </row>
        <row r="43">
          <cell r="A43" t="str">
            <v>3.1.2 Language of Parts</v>
          </cell>
        </row>
        <row r="44">
          <cell r="A44" t="str">
            <v>3.2.1 On Focus</v>
          </cell>
        </row>
        <row r="45">
          <cell r="A45" t="str">
            <v>3.2.2 On Input</v>
          </cell>
        </row>
        <row r="46">
          <cell r="A46" t="str">
            <v>3.2.3 Consistent Navigation</v>
          </cell>
        </row>
        <row r="47">
          <cell r="A47" t="str">
            <v>3.2.4 Consistent Identification</v>
          </cell>
        </row>
        <row r="48">
          <cell r="A48" t="str">
            <v>3.2.6 Consistent Help (Added in 2.2)</v>
          </cell>
        </row>
        <row r="49">
          <cell r="A49" t="str">
            <v>3.3.1 Error Identification</v>
          </cell>
        </row>
        <row r="50">
          <cell r="A50" t="str">
            <v>3.3.2 Labels or Instructions</v>
          </cell>
        </row>
        <row r="51">
          <cell r="A51" t="str">
            <v>3.3.3 Error Suggestion</v>
          </cell>
        </row>
        <row r="52">
          <cell r="A52" t="str">
            <v>3.3.4 Error Prevention (Legal, Financial, Data)</v>
          </cell>
        </row>
        <row r="53">
          <cell r="A53" t="str">
            <v>3.3.7 Redundant Entry (Added in 2.2)</v>
          </cell>
        </row>
        <row r="54">
          <cell r="A54" t="str">
            <v>3.3.8 Accessible Authentication (Minimum) (Added in 2.2)</v>
          </cell>
        </row>
        <row r="55">
          <cell r="A55" t="str">
            <v>4.1.1 Parsing (Removed in 2.2)</v>
          </cell>
        </row>
        <row r="56">
          <cell r="A56" t="str">
            <v>4.1.2 Name, Role, Value</v>
          </cell>
        </row>
        <row r="57">
          <cell r="A57" t="str">
            <v>4.1.3 Status Messages (Added in 2.1)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BE6D-ED4F-8544-BD9A-495B18BA2AB8}">
  <sheetPr codeName="Sheet7"/>
  <dimension ref="A1:R57"/>
  <sheetViews>
    <sheetView tabSelected="1" workbookViewId="0">
      <selection activeCell="N15" sqref="N15"/>
    </sheetView>
  </sheetViews>
  <sheetFormatPr baseColWidth="10" defaultColWidth="8.83203125" defaultRowHeight="15" x14ac:dyDescent="0.2"/>
  <cols>
    <col min="1" max="1" width="54.5" bestFit="1" customWidth="1"/>
    <col min="2" max="2" width="5.6640625" bestFit="1" customWidth="1"/>
    <col min="18" max="18" width="11.6640625" customWidth="1"/>
  </cols>
  <sheetData>
    <row r="1" spans="1:18" x14ac:dyDescent="0.2">
      <c r="A1" s="17" t="s">
        <v>75</v>
      </c>
      <c r="B1" s="17" t="s">
        <v>74</v>
      </c>
      <c r="C1" s="17" t="s">
        <v>69</v>
      </c>
      <c r="D1" s="17" t="s">
        <v>68</v>
      </c>
      <c r="E1" s="17" t="s">
        <v>67</v>
      </c>
      <c r="F1" s="17" t="s">
        <v>66</v>
      </c>
      <c r="G1" s="17" t="s">
        <v>65</v>
      </c>
      <c r="H1" s="17" t="s">
        <v>64</v>
      </c>
      <c r="I1" s="17" t="s">
        <v>73</v>
      </c>
    </row>
    <row r="2" spans="1:18" x14ac:dyDescent="0.2">
      <c r="A2" t="s">
        <v>72</v>
      </c>
      <c r="B2" t="s">
        <v>2</v>
      </c>
      <c r="C2">
        <f>COUNTIFS([1]Findings!$B$2:$B$500,A2,[1]Findings!$H$2:$H$500,"Blocking")</f>
        <v>1</v>
      </c>
      <c r="D2">
        <f>COUNTIFS([1]Findings!$B$2:$B$500,A2,[1]Findings!$H$2:$H$500,"Critical")</f>
        <v>0</v>
      </c>
      <c r="E2">
        <f>COUNTIFS([1]Findings!$B$2:$B$500,A2,[1]Findings!$H$2:$H$500,"Major")</f>
        <v>3</v>
      </c>
      <c r="F2">
        <f>COUNTIFS([1]Findings!$B$2:$B$500,A2,[1]Findings!$H$2:$H$500,"Minor")</f>
        <v>3</v>
      </c>
      <c r="G2">
        <f>COUNTIFS([1]Findings!$B$2:$B$500,A2,[1]Findings!$H$2:$H$500,"Low")</f>
        <v>0</v>
      </c>
      <c r="H2">
        <f>COUNTIFS([1]Findings!$B$2:$B$500,A2,[1]Findings!$H$2:$H$500,"Informational")</f>
        <v>0</v>
      </c>
      <c r="I2">
        <f>IF(SUM(C2:G2)&gt;0,1,0)</f>
        <v>1</v>
      </c>
      <c r="L2" s="16" t="s">
        <v>71</v>
      </c>
      <c r="M2" s="16"/>
      <c r="N2" s="16"/>
      <c r="O2" s="16"/>
      <c r="P2" s="16"/>
      <c r="Q2" s="16"/>
    </row>
    <row r="3" spans="1:18" x14ac:dyDescent="0.2">
      <c r="A3" t="s">
        <v>70</v>
      </c>
      <c r="B3" t="s">
        <v>2</v>
      </c>
      <c r="C3">
        <f>COUNTIFS([1]Findings!$B$2:$B$500,A3,[1]Findings!$H$2:$H$500,"Blocking")</f>
        <v>0</v>
      </c>
      <c r="D3">
        <f>COUNTIFS([1]Findings!$B$2:$B$500,A3,[1]Findings!$H$2:$H$500,"Critical")</f>
        <v>0</v>
      </c>
      <c r="E3">
        <f>COUNTIFS([1]Findings!$B$2:$B$500,A3,[1]Findings!$H$2:$H$500,"Major")</f>
        <v>0</v>
      </c>
      <c r="F3">
        <f>COUNTIFS([1]Findings!$B$2:$B$500,A3,[1]Findings!$H$2:$H$500,"Minor")</f>
        <v>0</v>
      </c>
      <c r="G3">
        <f>COUNTIFS([1]Findings!$B$2:$B$500,A3,[1]Findings!$H$2:$H$500,"Low")</f>
        <v>0</v>
      </c>
      <c r="H3">
        <f>COUNTIFS([1]Findings!$B$2:$B$500,A3,[1]Findings!$H$2:$H$500,"Informational")</f>
        <v>0</v>
      </c>
      <c r="I3">
        <f>IF(SUM(C3:G3)&gt;0,1,0)</f>
        <v>0</v>
      </c>
      <c r="L3" s="5" t="s">
        <v>69</v>
      </c>
      <c r="M3" s="15" t="s">
        <v>68</v>
      </c>
      <c r="N3" s="14" t="s">
        <v>67</v>
      </c>
      <c r="O3" s="13" t="s">
        <v>66</v>
      </c>
      <c r="P3" s="4" t="s">
        <v>65</v>
      </c>
      <c r="Q3" s="12" t="s">
        <v>64</v>
      </c>
    </row>
    <row r="4" spans="1:18" x14ac:dyDescent="0.2">
      <c r="A4" t="s">
        <v>63</v>
      </c>
      <c r="B4" t="s">
        <v>2</v>
      </c>
      <c r="C4">
        <f>COUNTIFS([1]Findings!$B$2:$B$500,A4,[1]Findings!$H$2:$H$500,"Blocking")</f>
        <v>0</v>
      </c>
      <c r="D4">
        <f>COUNTIFS([1]Findings!$B$2:$B$500,A4,[1]Findings!$H$2:$H$500,"Critical")</f>
        <v>0</v>
      </c>
      <c r="E4">
        <f>COUNTIFS([1]Findings!$B$2:$B$500,A4,[1]Findings!$H$2:$H$500,"Major")</f>
        <v>0</v>
      </c>
      <c r="F4">
        <f>COUNTIFS([1]Findings!$B$2:$B$500,A4,[1]Findings!$H$2:$H$500,"Minor")</f>
        <v>0</v>
      </c>
      <c r="G4">
        <f>COUNTIFS([1]Findings!$B$2:$B$500,A4,[1]Findings!$H$2:$H$500,"Low")</f>
        <v>0</v>
      </c>
      <c r="H4">
        <f>COUNTIFS([1]Findings!$B$2:$B$500,A4,[1]Findings!$H$2:$H$500,"Informational")</f>
        <v>0</v>
      </c>
      <c r="I4">
        <f>IF(SUM(C4:G4)&gt;0,1,0)</f>
        <v>0</v>
      </c>
      <c r="K4" s="3" t="s">
        <v>50</v>
      </c>
      <c r="L4" s="1">
        <f>SUMIF($B$2:$B$57,"A",C2:C57)</f>
        <v>42</v>
      </c>
      <c r="M4" s="1">
        <f>SUMIF($B$2:$B$57,"A",D2:D57)</f>
        <v>38</v>
      </c>
      <c r="N4" s="1">
        <f>SUMIF($B$2:$B$57,"A",E2:E57)</f>
        <v>101</v>
      </c>
      <c r="O4" s="1">
        <f>SUMIF($B$2:$B$57,"A",F2:F57)</f>
        <v>55</v>
      </c>
      <c r="P4" s="1">
        <f>SUMIF($B$2:$B$57,"A",G2:G57)</f>
        <v>17</v>
      </c>
      <c r="Q4" s="1">
        <f>SUMIF($B$2:$B$57,"A",H2:H57)</f>
        <v>7</v>
      </c>
    </row>
    <row r="5" spans="1:18" x14ac:dyDescent="0.2">
      <c r="A5" t="s">
        <v>62</v>
      </c>
      <c r="B5" t="s">
        <v>2</v>
      </c>
      <c r="C5">
        <f>COUNTIFS([1]Findings!$B$2:$B$500,A5,[1]Findings!$H$2:$H$500,"Blocking")</f>
        <v>0</v>
      </c>
      <c r="D5">
        <f>COUNTIFS([1]Findings!$B$2:$B$500,A5,[1]Findings!$H$2:$H$500,"Critical")</f>
        <v>0</v>
      </c>
      <c r="E5">
        <f>COUNTIFS([1]Findings!$B$2:$B$500,A5,[1]Findings!$H$2:$H$500,"Major")</f>
        <v>0</v>
      </c>
      <c r="F5">
        <f>COUNTIFS([1]Findings!$B$2:$B$500,A5,[1]Findings!$H$2:$H$500,"Minor")</f>
        <v>0</v>
      </c>
      <c r="G5">
        <f>COUNTIFS([1]Findings!$B$2:$B$500,A5,[1]Findings!$H$2:$H$500,"Low")</f>
        <v>0</v>
      </c>
      <c r="H5">
        <f>COUNTIFS([1]Findings!$B$2:$B$500,A5,[1]Findings!$H$2:$H$500,"Informational")</f>
        <v>0</v>
      </c>
      <c r="I5">
        <f>IF(SUM(C5:G5)&gt;0,1,0)</f>
        <v>0</v>
      </c>
      <c r="K5" s="3" t="s">
        <v>48</v>
      </c>
      <c r="L5" s="1">
        <f>SUMIF($B$2:$B$57,"AA",C2:C57)</f>
        <v>6</v>
      </c>
      <c r="M5" s="1">
        <f>SUMIF($B$2:$B$57,"AA",D2:D57)</f>
        <v>17</v>
      </c>
      <c r="N5" s="1">
        <f>SUMIF($B$2:$B$57,"AA",E2:E57)</f>
        <v>65</v>
      </c>
      <c r="O5" s="1">
        <f>SUMIF($B$2:$B$57,"AA",F2:F57)</f>
        <v>92</v>
      </c>
      <c r="P5" s="1">
        <f>SUMIF($B$2:$B$57,"AA",G2:G57)</f>
        <v>26</v>
      </c>
      <c r="Q5" s="1">
        <f>SUMIF($B$2:$B$57,"AA",H2:H57)</f>
        <v>2</v>
      </c>
      <c r="R5" s="11" t="s">
        <v>61</v>
      </c>
    </row>
    <row r="6" spans="1:18" x14ac:dyDescent="0.2">
      <c r="A6" t="s">
        <v>60</v>
      </c>
      <c r="B6" t="s">
        <v>0</v>
      </c>
      <c r="C6">
        <f>COUNTIFS([1]Findings!$B$2:$B$500,A6,[1]Findings!$H$2:$H$500,"Blocking")</f>
        <v>0</v>
      </c>
      <c r="D6">
        <f>COUNTIFS([1]Findings!$B$2:$B$500,A6,[1]Findings!$H$2:$H$500,"Critical")</f>
        <v>0</v>
      </c>
      <c r="E6">
        <f>COUNTIFS([1]Findings!$B$2:$B$500,A6,[1]Findings!$H$2:$H$500,"Major")</f>
        <v>0</v>
      </c>
      <c r="F6">
        <f>COUNTIFS([1]Findings!$B$2:$B$500,A6,[1]Findings!$H$2:$H$500,"Minor")</f>
        <v>0</v>
      </c>
      <c r="G6">
        <f>COUNTIFS([1]Findings!$B$2:$B$500,A6,[1]Findings!$H$2:$H$500,"Low")</f>
        <v>0</v>
      </c>
      <c r="H6">
        <f>COUNTIFS([1]Findings!$B$2:$B$500,A6,[1]Findings!$H$2:$H$500,"Informational")</f>
        <v>0</v>
      </c>
      <c r="I6">
        <f>IF(SUM(C6:G6)&gt;0,1,0)</f>
        <v>0</v>
      </c>
      <c r="K6" s="3" t="s">
        <v>46</v>
      </c>
      <c r="L6" s="2">
        <f>SUM(C2:C57)</f>
        <v>48</v>
      </c>
      <c r="M6" s="1">
        <f>SUM(D2:D57)</f>
        <v>55</v>
      </c>
      <c r="N6" s="1">
        <f>SUM(E2:E57)</f>
        <v>166</v>
      </c>
      <c r="O6" s="1">
        <f>SUM(F2:F57)</f>
        <v>147</v>
      </c>
      <c r="P6" s="1">
        <f>SUM(G2:G57)</f>
        <v>43</v>
      </c>
      <c r="Q6" s="1">
        <f>SUM(H2:H57)</f>
        <v>9</v>
      </c>
      <c r="R6" s="10">
        <f>SUM(L6:Q6)</f>
        <v>468</v>
      </c>
    </row>
    <row r="7" spans="1:18" x14ac:dyDescent="0.2">
      <c r="A7" t="s">
        <v>59</v>
      </c>
      <c r="B7" t="s">
        <v>0</v>
      </c>
      <c r="C7">
        <f>COUNTIFS([1]Findings!$B$2:$B$500,A7,[1]Findings!$H$2:$H$500,"Blocking")</f>
        <v>0</v>
      </c>
      <c r="D7">
        <f>COUNTIFS([1]Findings!$B$2:$B$500,A7,[1]Findings!$H$2:$H$500,"Critical")</f>
        <v>0</v>
      </c>
      <c r="E7">
        <f>COUNTIFS([1]Findings!$B$2:$B$500,A7,[1]Findings!$H$2:$H$500,"Major")</f>
        <v>0</v>
      </c>
      <c r="F7">
        <f>COUNTIFS([1]Findings!$B$2:$B$500,A7,[1]Findings!$H$2:$H$500,"Minor")</f>
        <v>0</v>
      </c>
      <c r="G7">
        <f>COUNTIFS([1]Findings!$B$2:$B$500,A7,[1]Findings!$H$2:$H$500,"Low")</f>
        <v>0</v>
      </c>
      <c r="H7">
        <f>COUNTIFS([1]Findings!$B$2:$B$500,A7,[1]Findings!$H$2:$H$500,"Informational")</f>
        <v>0</v>
      </c>
      <c r="I7">
        <f>IF(SUM(C7:G7)&gt;0,1,0)</f>
        <v>0</v>
      </c>
    </row>
    <row r="8" spans="1:18" x14ac:dyDescent="0.2">
      <c r="A8" t="s">
        <v>58</v>
      </c>
      <c r="B8" t="s">
        <v>2</v>
      </c>
      <c r="C8">
        <f>COUNTIFS([1]Findings!$B$2:$B$500,A8,[1]Findings!$H$2:$H$500,"Blocking")</f>
        <v>3</v>
      </c>
      <c r="D8">
        <f>COUNTIFS([1]Findings!$B$2:$B$500,A8,[1]Findings!$H$2:$H$500,"Critical")</f>
        <v>5</v>
      </c>
      <c r="E8">
        <f>COUNTIFS([1]Findings!$B$2:$B$500,A8,[1]Findings!$H$2:$H$500,"Major")</f>
        <v>42</v>
      </c>
      <c r="F8">
        <f>COUNTIFS([1]Findings!$B$2:$B$500,A8,[1]Findings!$H$2:$H$500,"Minor")</f>
        <v>27</v>
      </c>
      <c r="G8">
        <f>COUNTIFS([1]Findings!$B$2:$B$500,A8,[1]Findings!$H$2:$H$500,"Low")</f>
        <v>9</v>
      </c>
      <c r="H8">
        <f>COUNTIFS([1]Findings!$B$2:$B$500,A8,[1]Findings!$H$2:$H$500,"Informational")</f>
        <v>2</v>
      </c>
      <c r="I8">
        <f>IF(SUM(C8:G8)&gt;0,1,0)</f>
        <v>1</v>
      </c>
    </row>
    <row r="9" spans="1:18" x14ac:dyDescent="0.2">
      <c r="A9" t="s">
        <v>57</v>
      </c>
      <c r="B9" t="s">
        <v>2</v>
      </c>
      <c r="C9">
        <f>COUNTIFS([1]Findings!$B$2:$B$500,A9,[1]Findings!$H$2:$H$500,"Blocking")</f>
        <v>0</v>
      </c>
      <c r="D9">
        <f>COUNTIFS([1]Findings!$B$2:$B$500,A9,[1]Findings!$H$2:$H$500,"Critical")</f>
        <v>0</v>
      </c>
      <c r="E9">
        <f>COUNTIFS([1]Findings!$B$2:$B$500,A9,[1]Findings!$H$2:$H$500,"Major")</f>
        <v>2</v>
      </c>
      <c r="F9">
        <f>COUNTIFS([1]Findings!$B$2:$B$500,A9,[1]Findings!$H$2:$H$500,"Minor")</f>
        <v>0</v>
      </c>
      <c r="G9">
        <f>COUNTIFS([1]Findings!$B$2:$B$500,A9,[1]Findings!$H$2:$H$500,"Low")</f>
        <v>1</v>
      </c>
      <c r="H9">
        <f>COUNTIFS([1]Findings!$B$2:$B$500,A9,[1]Findings!$H$2:$H$500,"Informational")</f>
        <v>1</v>
      </c>
      <c r="I9">
        <f>IF(SUM(C9:G9)&gt;0,1,0)</f>
        <v>1</v>
      </c>
      <c r="L9" s="9" t="s">
        <v>56</v>
      </c>
      <c r="M9" s="8"/>
      <c r="N9" s="7"/>
    </row>
    <row r="10" spans="1:18" x14ac:dyDescent="0.2">
      <c r="A10" t="s">
        <v>55</v>
      </c>
      <c r="B10" t="s">
        <v>2</v>
      </c>
      <c r="C10">
        <f>COUNTIFS([1]Findings!$B$2:$B$500,A10,[1]Findings!$H$2:$H$500,"Blocking")</f>
        <v>0</v>
      </c>
      <c r="D10">
        <f>COUNTIFS([1]Findings!$B$2:$B$500,A10,[1]Findings!$H$2:$H$500,"Critical")</f>
        <v>1</v>
      </c>
      <c r="E10">
        <f>COUNTIFS([1]Findings!$B$2:$B$500,A10,[1]Findings!$H$2:$H$500,"Major")</f>
        <v>0</v>
      </c>
      <c r="F10">
        <f>COUNTIFS([1]Findings!$B$2:$B$500,A10,[1]Findings!$H$2:$H$500,"Minor")</f>
        <v>0</v>
      </c>
      <c r="G10">
        <f>COUNTIFS([1]Findings!$B$2:$B$500,A10,[1]Findings!$H$2:$H$500,"Low")</f>
        <v>0</v>
      </c>
      <c r="H10">
        <f>COUNTIFS([1]Findings!$B$2:$B$500,A10,[1]Findings!$H$2:$H$500,"Informational")</f>
        <v>0</v>
      </c>
      <c r="I10">
        <f>IF(SUM(C10:G10)&gt;0,1,0)</f>
        <v>1</v>
      </c>
      <c r="L10" s="6" t="s">
        <v>54</v>
      </c>
      <c r="M10" s="5" t="s">
        <v>53</v>
      </c>
      <c r="N10" s="4" t="s">
        <v>52</v>
      </c>
    </row>
    <row r="11" spans="1:18" x14ac:dyDescent="0.2">
      <c r="A11" t="s">
        <v>51</v>
      </c>
      <c r="B11" t="s">
        <v>0</v>
      </c>
      <c r="C11">
        <f>COUNTIFS([1]Findings!$B$2:$B$500,A11,[1]Findings!$H$2:$H$500,"Blocking")</f>
        <v>0</v>
      </c>
      <c r="D11">
        <f>COUNTIFS([1]Findings!$B$2:$B$500,A11,[1]Findings!$H$2:$H$500,"Critical")</f>
        <v>0</v>
      </c>
      <c r="E11">
        <f>COUNTIFS([1]Findings!$B$2:$B$500,A11,[1]Findings!$H$2:$H$500,"Major")</f>
        <v>0</v>
      </c>
      <c r="F11">
        <f>COUNTIFS([1]Findings!$B$2:$B$500,A11,[1]Findings!$H$2:$H$500,"Minor")</f>
        <v>0</v>
      </c>
      <c r="G11">
        <f>COUNTIFS([1]Findings!$B$2:$B$500,A11,[1]Findings!$H$2:$H$500,"Low")</f>
        <v>0</v>
      </c>
      <c r="H11">
        <f>COUNTIFS([1]Findings!$B$2:$B$500,A11,[1]Findings!$H$2:$H$500,"Informational")</f>
        <v>0</v>
      </c>
      <c r="I11">
        <f>IF(SUM(C11:G11)&gt;0,1,0)</f>
        <v>0</v>
      </c>
      <c r="K11" s="3" t="s">
        <v>50</v>
      </c>
      <c r="L11" s="1">
        <f>COUNTIFS(B2:B57,"A",I2:I57,0)</f>
        <v>14</v>
      </c>
      <c r="M11" s="1">
        <f>COUNTIFS(B2:B57,"A",I2:I57,1)</f>
        <v>18</v>
      </c>
      <c r="N11" s="1">
        <f>COUNTIF($B$2:$B$57,"A")</f>
        <v>32</v>
      </c>
    </row>
    <row r="12" spans="1:18" x14ac:dyDescent="0.2">
      <c r="A12" t="s">
        <v>49</v>
      </c>
      <c r="B12" t="s">
        <v>0</v>
      </c>
      <c r="C12">
        <f>COUNTIFS([1]Findings!$B$2:$B$500,A12,[1]Findings!$H$2:$H$500,"Blocking")</f>
        <v>0</v>
      </c>
      <c r="D12">
        <f>COUNTIFS([1]Findings!$B$2:$B$500,A12,[1]Findings!$H$2:$H$500,"Critical")</f>
        <v>0</v>
      </c>
      <c r="E12">
        <f>COUNTIFS([1]Findings!$B$2:$B$500,A12,[1]Findings!$H$2:$H$500,"Major")</f>
        <v>0</v>
      </c>
      <c r="F12">
        <f>COUNTIFS([1]Findings!$B$2:$B$500,A12,[1]Findings!$H$2:$H$500,"Minor")</f>
        <v>2</v>
      </c>
      <c r="G12">
        <f>COUNTIFS([1]Findings!$B$2:$B$500,A12,[1]Findings!$H$2:$H$500,"Low")</f>
        <v>3</v>
      </c>
      <c r="H12">
        <f>COUNTIFS([1]Findings!$B$2:$B$500,A12,[1]Findings!$H$2:$H$500,"Informational")</f>
        <v>0</v>
      </c>
      <c r="I12">
        <f>IF(SUM(C12:G12)&gt;0,1,0)</f>
        <v>1</v>
      </c>
      <c r="K12" s="3" t="s">
        <v>48</v>
      </c>
      <c r="L12" s="1">
        <f>COUNTIFS(B2:B57,"AA",I2:I57,0)</f>
        <v>6</v>
      </c>
      <c r="M12" s="1">
        <f>COUNTIFS(B2:B57,"AA",I2:I57,1)</f>
        <v>18</v>
      </c>
      <c r="N12" s="1">
        <f>COUNTIF($B$2:$B$57,"AA")</f>
        <v>24</v>
      </c>
    </row>
    <row r="13" spans="1:18" x14ac:dyDescent="0.2">
      <c r="A13" t="s">
        <v>47</v>
      </c>
      <c r="B13" t="s">
        <v>2</v>
      </c>
      <c r="C13">
        <f>COUNTIFS([1]Findings!$B$2:$B$500,A13,[1]Findings!$H$2:$H$500,"Blocking")</f>
        <v>0</v>
      </c>
      <c r="D13">
        <f>COUNTIFS([1]Findings!$B$2:$B$500,A13,[1]Findings!$H$2:$H$500,"Critical")</f>
        <v>0</v>
      </c>
      <c r="E13">
        <f>COUNTIFS([1]Findings!$B$2:$B$500,A13,[1]Findings!$H$2:$H$500,"Major")</f>
        <v>1</v>
      </c>
      <c r="F13">
        <f>COUNTIFS([1]Findings!$B$2:$B$500,A13,[1]Findings!$H$2:$H$500,"Minor")</f>
        <v>0</v>
      </c>
      <c r="G13">
        <f>COUNTIFS([1]Findings!$B$2:$B$500,A13,[1]Findings!$H$2:$H$500,"Low")</f>
        <v>0</v>
      </c>
      <c r="H13">
        <f>COUNTIFS([1]Findings!$B$2:$B$500,A13,[1]Findings!$H$2:$H$500,"Informational")</f>
        <v>0</v>
      </c>
      <c r="I13">
        <f>IF(SUM(C13:G13)&gt;0,1,0)</f>
        <v>1</v>
      </c>
      <c r="K13" s="3" t="s">
        <v>46</v>
      </c>
      <c r="L13" s="2">
        <f>SUM(L11:L12)</f>
        <v>20</v>
      </c>
      <c r="M13" s="1">
        <f>SUM(M11:M12)</f>
        <v>36</v>
      </c>
      <c r="N13" s="1">
        <f>SUM(N11:N12)</f>
        <v>56</v>
      </c>
    </row>
    <row r="14" spans="1:18" x14ac:dyDescent="0.2">
      <c r="A14" t="s">
        <v>45</v>
      </c>
      <c r="B14" t="s">
        <v>2</v>
      </c>
      <c r="C14">
        <f>COUNTIFS([1]Findings!$B$2:$B$500,A14,[1]Findings!$H$2:$H$500,"Blocking")</f>
        <v>0</v>
      </c>
      <c r="D14">
        <f>COUNTIFS([1]Findings!$B$2:$B$500,A14,[1]Findings!$H$2:$H$500,"Critical")</f>
        <v>0</v>
      </c>
      <c r="E14">
        <f>COUNTIFS([1]Findings!$B$2:$B$500,A14,[1]Findings!$H$2:$H$500,"Major")</f>
        <v>0</v>
      </c>
      <c r="F14">
        <f>COUNTIFS([1]Findings!$B$2:$B$500,A14,[1]Findings!$H$2:$H$500,"Minor")</f>
        <v>0</v>
      </c>
      <c r="G14">
        <f>COUNTIFS([1]Findings!$B$2:$B$500,A14,[1]Findings!$H$2:$H$500,"Low")</f>
        <v>0</v>
      </c>
      <c r="H14">
        <f>COUNTIFS([1]Findings!$B$2:$B$500,A14,[1]Findings!$H$2:$H$500,"Informational")</f>
        <v>0</v>
      </c>
      <c r="I14">
        <f>IF(SUM(C14:G14)&gt;0,1,0)</f>
        <v>0</v>
      </c>
    </row>
    <row r="15" spans="1:18" x14ac:dyDescent="0.2">
      <c r="A15" t="s">
        <v>44</v>
      </c>
      <c r="B15" t="s">
        <v>0</v>
      </c>
      <c r="C15">
        <f>COUNTIFS([1]Findings!$B$2:$B$500,A15,[1]Findings!$H$2:$H$500,"Blocking")</f>
        <v>0</v>
      </c>
      <c r="D15">
        <f>COUNTIFS([1]Findings!$B$2:$B$500,A15,[1]Findings!$H$2:$H$500,"Critical")</f>
        <v>0</v>
      </c>
      <c r="E15">
        <f>COUNTIFS([1]Findings!$B$2:$B$500,A15,[1]Findings!$H$2:$H$500,"Major")</f>
        <v>4</v>
      </c>
      <c r="F15">
        <f>COUNTIFS([1]Findings!$B$2:$B$500,A15,[1]Findings!$H$2:$H$500,"Minor")</f>
        <v>22</v>
      </c>
      <c r="G15">
        <f>COUNTIFS([1]Findings!$B$2:$B$500,A15,[1]Findings!$H$2:$H$500,"Low")</f>
        <v>3</v>
      </c>
      <c r="H15">
        <f>COUNTIFS([1]Findings!$B$2:$B$500,A15,[1]Findings!$H$2:$H$500,"Informational")</f>
        <v>0</v>
      </c>
      <c r="I15">
        <f>IF(SUM(C15:G15)&gt;0,1,0)</f>
        <v>1</v>
      </c>
    </row>
    <row r="16" spans="1:18" x14ac:dyDescent="0.2">
      <c r="A16" t="s">
        <v>43</v>
      </c>
      <c r="B16" t="s">
        <v>0</v>
      </c>
      <c r="C16">
        <f>COUNTIFS([1]Findings!$B$2:$B$500,A16,[1]Findings!$H$2:$H$500,"Blocking")</f>
        <v>1</v>
      </c>
      <c r="D16">
        <f>COUNTIFS([1]Findings!$B$2:$B$500,A16,[1]Findings!$H$2:$H$500,"Critical")</f>
        <v>0</v>
      </c>
      <c r="E16">
        <f>COUNTIFS([1]Findings!$B$2:$B$500,A16,[1]Findings!$H$2:$H$500,"Major")</f>
        <v>5</v>
      </c>
      <c r="F16">
        <f>COUNTIFS([1]Findings!$B$2:$B$500,A16,[1]Findings!$H$2:$H$500,"Minor")</f>
        <v>5</v>
      </c>
      <c r="G16">
        <f>COUNTIFS([1]Findings!$B$2:$B$500,A16,[1]Findings!$H$2:$H$500,"Low")</f>
        <v>0</v>
      </c>
      <c r="H16">
        <f>COUNTIFS([1]Findings!$B$2:$B$500,A16,[1]Findings!$H$2:$H$500,"Informational")</f>
        <v>0</v>
      </c>
      <c r="I16">
        <f>IF(SUM(C16:G16)&gt;0,1,0)</f>
        <v>1</v>
      </c>
    </row>
    <row r="17" spans="1:9" x14ac:dyDescent="0.2">
      <c r="A17" t="s">
        <v>42</v>
      </c>
      <c r="B17" t="s">
        <v>0</v>
      </c>
      <c r="C17">
        <f>COUNTIFS([1]Findings!$B$2:$B$500,A17,[1]Findings!$H$2:$H$500,"Blocking")</f>
        <v>0</v>
      </c>
      <c r="D17">
        <f>COUNTIFS([1]Findings!$B$2:$B$500,A17,[1]Findings!$H$2:$H$500,"Critical")</f>
        <v>0</v>
      </c>
      <c r="E17">
        <f>COUNTIFS([1]Findings!$B$2:$B$500,A17,[1]Findings!$H$2:$H$500,"Major")</f>
        <v>1</v>
      </c>
      <c r="F17">
        <f>COUNTIFS([1]Findings!$B$2:$B$500,A17,[1]Findings!$H$2:$H$500,"Minor")</f>
        <v>0</v>
      </c>
      <c r="G17">
        <f>COUNTIFS([1]Findings!$B$2:$B$500,A17,[1]Findings!$H$2:$H$500,"Low")</f>
        <v>1</v>
      </c>
      <c r="H17">
        <f>COUNTIFS([1]Findings!$B$2:$B$500,A17,[1]Findings!$H$2:$H$500,"Informational")</f>
        <v>0</v>
      </c>
      <c r="I17">
        <f>IF(SUM(C17:G17)&gt;0,1,0)</f>
        <v>1</v>
      </c>
    </row>
    <row r="18" spans="1:9" x14ac:dyDescent="0.2">
      <c r="A18" t="s">
        <v>41</v>
      </c>
      <c r="B18" t="s">
        <v>0</v>
      </c>
      <c r="C18">
        <f>COUNTIFS([1]Findings!$B$2:$B$500,A18,[1]Findings!$H$2:$H$500,"Blocking")</f>
        <v>3</v>
      </c>
      <c r="D18">
        <f>COUNTIFS([1]Findings!$B$2:$B$500,A18,[1]Findings!$H$2:$H$500,"Critical")</f>
        <v>4</v>
      </c>
      <c r="E18">
        <f>COUNTIFS([1]Findings!$B$2:$B$500,A18,[1]Findings!$H$2:$H$500,"Major")</f>
        <v>15</v>
      </c>
      <c r="F18">
        <f>COUNTIFS([1]Findings!$B$2:$B$500,A18,[1]Findings!$H$2:$H$500,"Minor")</f>
        <v>7</v>
      </c>
      <c r="G18">
        <f>COUNTIFS([1]Findings!$B$2:$B$500,A18,[1]Findings!$H$2:$H$500,"Low")</f>
        <v>1</v>
      </c>
      <c r="H18">
        <f>COUNTIFS([1]Findings!$B$2:$B$500,A18,[1]Findings!$H$2:$H$500,"Informational")</f>
        <v>1</v>
      </c>
      <c r="I18">
        <f>IF(SUM(C18:G18)&gt;0,1,0)</f>
        <v>1</v>
      </c>
    </row>
    <row r="19" spans="1:9" x14ac:dyDescent="0.2">
      <c r="A19" t="s">
        <v>40</v>
      </c>
      <c r="B19" t="s">
        <v>0</v>
      </c>
      <c r="C19">
        <f>COUNTIFS([1]Findings!$B$2:$B$500,A19,[1]Findings!$H$2:$H$500,"Blocking")</f>
        <v>0</v>
      </c>
      <c r="D19">
        <f>COUNTIFS([1]Findings!$B$2:$B$500,A19,[1]Findings!$H$2:$H$500,"Critical")</f>
        <v>0</v>
      </c>
      <c r="E19">
        <f>COUNTIFS([1]Findings!$B$2:$B$500,A19,[1]Findings!$H$2:$H$500,"Major")</f>
        <v>2</v>
      </c>
      <c r="F19">
        <f>COUNTIFS([1]Findings!$B$2:$B$500,A19,[1]Findings!$H$2:$H$500,"Minor")</f>
        <v>10</v>
      </c>
      <c r="G19">
        <f>COUNTIFS([1]Findings!$B$2:$B$500,A19,[1]Findings!$H$2:$H$500,"Low")</f>
        <v>1</v>
      </c>
      <c r="H19">
        <f>COUNTIFS([1]Findings!$B$2:$B$500,A19,[1]Findings!$H$2:$H$500,"Informational")</f>
        <v>0</v>
      </c>
      <c r="I19">
        <f>IF(SUM(C19:G19)&gt;0,1,0)</f>
        <v>1</v>
      </c>
    </row>
    <row r="20" spans="1:9" x14ac:dyDescent="0.2">
      <c r="A20" t="s">
        <v>39</v>
      </c>
      <c r="B20" t="s">
        <v>0</v>
      </c>
      <c r="C20">
        <f>COUNTIFS([1]Findings!$B$2:$B$500,A20,[1]Findings!$H$2:$H$500,"Blocking")</f>
        <v>1</v>
      </c>
      <c r="D20">
        <f>COUNTIFS([1]Findings!$B$2:$B$500,A20,[1]Findings!$H$2:$H$500,"Critical")</f>
        <v>4</v>
      </c>
      <c r="E20">
        <f>COUNTIFS([1]Findings!$B$2:$B$500,A20,[1]Findings!$H$2:$H$500,"Major")</f>
        <v>1</v>
      </c>
      <c r="F20">
        <f>COUNTIFS([1]Findings!$B$2:$B$500,A20,[1]Findings!$H$2:$H$500,"Minor")</f>
        <v>11</v>
      </c>
      <c r="G20">
        <f>COUNTIFS([1]Findings!$B$2:$B$500,A20,[1]Findings!$H$2:$H$500,"Low")</f>
        <v>1</v>
      </c>
      <c r="H20">
        <f>COUNTIFS([1]Findings!$B$2:$B$500,A20,[1]Findings!$H$2:$H$500,"Informational")</f>
        <v>0</v>
      </c>
      <c r="I20">
        <f>IF(SUM(C20:G20)&gt;0,1,0)</f>
        <v>1</v>
      </c>
    </row>
    <row r="21" spans="1:9" x14ac:dyDescent="0.2">
      <c r="A21" t="s">
        <v>38</v>
      </c>
      <c r="B21" t="s">
        <v>0</v>
      </c>
      <c r="C21">
        <f>COUNTIFS([1]Findings!$B$2:$B$500,A21,[1]Findings!$H$2:$H$500,"Blocking")</f>
        <v>0</v>
      </c>
      <c r="D21">
        <f>COUNTIFS([1]Findings!$B$2:$B$500,A21,[1]Findings!$H$2:$H$500,"Critical")</f>
        <v>0</v>
      </c>
      <c r="E21">
        <f>COUNTIFS([1]Findings!$B$2:$B$500,A21,[1]Findings!$H$2:$H$500,"Major")</f>
        <v>0</v>
      </c>
      <c r="F21">
        <f>COUNTIFS([1]Findings!$B$2:$B$500,A21,[1]Findings!$H$2:$H$500,"Minor")</f>
        <v>0</v>
      </c>
      <c r="G21">
        <f>COUNTIFS([1]Findings!$B$2:$B$500,A21,[1]Findings!$H$2:$H$500,"Low")</f>
        <v>0</v>
      </c>
      <c r="H21">
        <f>COUNTIFS([1]Findings!$B$2:$B$500,A21,[1]Findings!$H$2:$H$500,"Informational")</f>
        <v>0</v>
      </c>
      <c r="I21">
        <f>IF(SUM(C21:G21)&gt;0,1,0)</f>
        <v>0</v>
      </c>
    </row>
    <row r="22" spans="1:9" x14ac:dyDescent="0.2">
      <c r="A22" t="s">
        <v>37</v>
      </c>
      <c r="B22" t="s">
        <v>2</v>
      </c>
      <c r="C22">
        <f>COUNTIFS([1]Findings!$B$2:$B$500,A22,[1]Findings!$H$2:$H$500,"Blocking")</f>
        <v>32</v>
      </c>
      <c r="D22">
        <f>COUNTIFS([1]Findings!$B$2:$B$500,A22,[1]Findings!$H$2:$H$500,"Critical")</f>
        <v>13</v>
      </c>
      <c r="E22">
        <f>COUNTIFS([1]Findings!$B$2:$B$500,A22,[1]Findings!$H$2:$H$500,"Major")</f>
        <v>7</v>
      </c>
      <c r="F22">
        <f>COUNTIFS([1]Findings!$B$2:$B$500,A22,[1]Findings!$H$2:$H$500,"Minor")</f>
        <v>9</v>
      </c>
      <c r="G22">
        <f>COUNTIFS([1]Findings!$B$2:$B$500,A22,[1]Findings!$H$2:$H$500,"Low")</f>
        <v>0</v>
      </c>
      <c r="H22">
        <f>COUNTIFS([1]Findings!$B$2:$B$500,A22,[1]Findings!$H$2:$H$500,"Informational")</f>
        <v>1</v>
      </c>
      <c r="I22">
        <f>IF(SUM(C22:G22)&gt;0,1,0)</f>
        <v>1</v>
      </c>
    </row>
    <row r="23" spans="1:9" x14ac:dyDescent="0.2">
      <c r="A23" t="s">
        <v>36</v>
      </c>
      <c r="B23" t="s">
        <v>2</v>
      </c>
      <c r="C23">
        <f>COUNTIFS([1]Findings!$B$2:$B$500,A23,[1]Findings!$H$2:$H$500,"Blocking")</f>
        <v>2</v>
      </c>
      <c r="D23">
        <f>COUNTIFS([1]Findings!$B$2:$B$500,A23,[1]Findings!$H$2:$H$500,"Critical")</f>
        <v>4</v>
      </c>
      <c r="E23">
        <f>COUNTIFS([1]Findings!$B$2:$B$500,A23,[1]Findings!$H$2:$H$500,"Major")</f>
        <v>0</v>
      </c>
      <c r="F23">
        <f>COUNTIFS([1]Findings!$B$2:$B$500,A23,[1]Findings!$H$2:$H$500,"Minor")</f>
        <v>0</v>
      </c>
      <c r="G23">
        <f>COUNTIFS([1]Findings!$B$2:$B$500,A23,[1]Findings!$H$2:$H$500,"Low")</f>
        <v>0</v>
      </c>
      <c r="H23">
        <f>COUNTIFS([1]Findings!$B$2:$B$500,A23,[1]Findings!$H$2:$H$500,"Informational")</f>
        <v>0</v>
      </c>
      <c r="I23">
        <f>IF(SUM(C23:G23)&gt;0,1,0)</f>
        <v>1</v>
      </c>
    </row>
    <row r="24" spans="1:9" x14ac:dyDescent="0.2">
      <c r="A24" t="s">
        <v>35</v>
      </c>
      <c r="B24" t="s">
        <v>2</v>
      </c>
      <c r="C24">
        <f>COUNTIFS([1]Findings!$B$2:$B$500,A24,[1]Findings!$H$2:$H$500,"Blocking")</f>
        <v>0</v>
      </c>
      <c r="D24">
        <f>COUNTIFS([1]Findings!$B$2:$B$500,A24,[1]Findings!$H$2:$H$500,"Critical")</f>
        <v>0</v>
      </c>
      <c r="E24">
        <f>COUNTIFS([1]Findings!$B$2:$B$500,A24,[1]Findings!$H$2:$H$500,"Major")</f>
        <v>0</v>
      </c>
      <c r="F24">
        <f>COUNTIFS([1]Findings!$B$2:$B$500,A24,[1]Findings!$H$2:$H$500,"Minor")</f>
        <v>0</v>
      </c>
      <c r="G24">
        <f>COUNTIFS([1]Findings!$B$2:$B$500,A24,[1]Findings!$H$2:$H$500,"Low")</f>
        <v>0</v>
      </c>
      <c r="H24">
        <f>COUNTIFS([1]Findings!$B$2:$B$500,A24,[1]Findings!$H$2:$H$500,"Informational")</f>
        <v>0</v>
      </c>
      <c r="I24">
        <f>IF(SUM(C24:G24)&gt;0,1,0)</f>
        <v>0</v>
      </c>
    </row>
    <row r="25" spans="1:9" x14ac:dyDescent="0.2">
      <c r="A25" t="s">
        <v>34</v>
      </c>
      <c r="B25" t="s">
        <v>2</v>
      </c>
      <c r="C25">
        <f>COUNTIFS([1]Findings!$B$2:$B$500,A25,[1]Findings!$H$2:$H$500,"Blocking")</f>
        <v>1</v>
      </c>
      <c r="D25">
        <f>COUNTIFS([1]Findings!$B$2:$B$500,A25,[1]Findings!$H$2:$H$500,"Critical")</f>
        <v>0</v>
      </c>
      <c r="E25">
        <f>COUNTIFS([1]Findings!$B$2:$B$500,A25,[1]Findings!$H$2:$H$500,"Major")</f>
        <v>0</v>
      </c>
      <c r="F25">
        <f>COUNTIFS([1]Findings!$B$2:$B$500,A25,[1]Findings!$H$2:$H$500,"Minor")</f>
        <v>0</v>
      </c>
      <c r="G25">
        <f>COUNTIFS([1]Findings!$B$2:$B$500,A25,[1]Findings!$H$2:$H$500,"Low")</f>
        <v>1</v>
      </c>
      <c r="H25">
        <f>COUNTIFS([1]Findings!$B$2:$B$500,A25,[1]Findings!$H$2:$H$500,"Informational")</f>
        <v>0</v>
      </c>
      <c r="I25">
        <f>IF(SUM(C25:G25)&gt;0,1,0)</f>
        <v>1</v>
      </c>
    </row>
    <row r="26" spans="1:9" x14ac:dyDescent="0.2">
      <c r="A26" t="s">
        <v>33</v>
      </c>
      <c r="B26" t="s">
        <v>2</v>
      </c>
      <c r="C26">
        <f>COUNTIFS([1]Findings!$B$2:$B$500,A26,[1]Findings!$H$2:$H$500,"Blocking")</f>
        <v>0</v>
      </c>
      <c r="D26">
        <f>COUNTIFS([1]Findings!$B$2:$B$500,A26,[1]Findings!$H$2:$H$500,"Critical")</f>
        <v>0</v>
      </c>
      <c r="E26">
        <f>COUNTIFS([1]Findings!$B$2:$B$500,A26,[1]Findings!$H$2:$H$500,"Major")</f>
        <v>0</v>
      </c>
      <c r="F26">
        <f>COUNTIFS([1]Findings!$B$2:$B$500,A26,[1]Findings!$H$2:$H$500,"Minor")</f>
        <v>0</v>
      </c>
      <c r="G26">
        <f>COUNTIFS([1]Findings!$B$2:$B$500,A26,[1]Findings!$H$2:$H$500,"Low")</f>
        <v>0</v>
      </c>
      <c r="H26">
        <f>COUNTIFS([1]Findings!$B$2:$B$500,A26,[1]Findings!$H$2:$H$500,"Informational")</f>
        <v>0</v>
      </c>
      <c r="I26">
        <f>IF(SUM(C26:G26)&gt;0,1,0)</f>
        <v>0</v>
      </c>
    </row>
    <row r="27" spans="1:9" x14ac:dyDescent="0.2">
      <c r="A27" t="s">
        <v>32</v>
      </c>
      <c r="B27" t="s">
        <v>2</v>
      </c>
      <c r="C27">
        <f>COUNTIFS([1]Findings!$B$2:$B$500,A27,[1]Findings!$H$2:$H$500,"Blocking")</f>
        <v>0</v>
      </c>
      <c r="D27">
        <f>COUNTIFS([1]Findings!$B$2:$B$500,A27,[1]Findings!$H$2:$H$500,"Critical")</f>
        <v>0</v>
      </c>
      <c r="E27">
        <f>COUNTIFS([1]Findings!$B$2:$B$500,A27,[1]Findings!$H$2:$H$500,"Major")</f>
        <v>0</v>
      </c>
      <c r="F27">
        <f>COUNTIFS([1]Findings!$B$2:$B$500,A27,[1]Findings!$H$2:$H$500,"Minor")</f>
        <v>0</v>
      </c>
      <c r="G27">
        <f>COUNTIFS([1]Findings!$B$2:$B$500,A27,[1]Findings!$H$2:$H$500,"Low")</f>
        <v>0</v>
      </c>
      <c r="H27">
        <f>COUNTIFS([1]Findings!$B$2:$B$500,A27,[1]Findings!$H$2:$H$500,"Informational")</f>
        <v>0</v>
      </c>
      <c r="I27">
        <f>IF(SUM(C27:G27)&gt;0,1,0)</f>
        <v>0</v>
      </c>
    </row>
    <row r="28" spans="1:9" x14ac:dyDescent="0.2">
      <c r="A28" t="s">
        <v>31</v>
      </c>
      <c r="B28" t="s">
        <v>2</v>
      </c>
      <c r="C28">
        <f>COUNTIFS([1]Findings!$B$2:$B$500,A28,[1]Findings!$H$2:$H$500,"Blocking")</f>
        <v>0</v>
      </c>
      <c r="D28">
        <f>COUNTIFS([1]Findings!$B$2:$B$500,A28,[1]Findings!$H$2:$H$500,"Critical")</f>
        <v>0</v>
      </c>
      <c r="E28">
        <f>COUNTIFS([1]Findings!$B$2:$B$500,A28,[1]Findings!$H$2:$H$500,"Major")</f>
        <v>0</v>
      </c>
      <c r="F28">
        <f>COUNTIFS([1]Findings!$B$2:$B$500,A28,[1]Findings!$H$2:$H$500,"Minor")</f>
        <v>0</v>
      </c>
      <c r="G28">
        <f>COUNTIFS([1]Findings!$B$2:$B$500,A28,[1]Findings!$H$2:$H$500,"Low")</f>
        <v>0</v>
      </c>
      <c r="H28">
        <f>COUNTIFS([1]Findings!$B$2:$B$500,A28,[1]Findings!$H$2:$H$500,"Informational")</f>
        <v>0</v>
      </c>
      <c r="I28">
        <f>IF(SUM(C28:G28)&gt;0,1,0)</f>
        <v>0</v>
      </c>
    </row>
    <row r="29" spans="1:9" x14ac:dyDescent="0.2">
      <c r="A29" t="s">
        <v>30</v>
      </c>
      <c r="B29" t="s">
        <v>2</v>
      </c>
      <c r="C29">
        <f>COUNTIFS([1]Findings!$B$2:$B$500,A29,[1]Findings!$H$2:$H$500,"Blocking")</f>
        <v>0</v>
      </c>
      <c r="D29">
        <f>COUNTIFS([1]Findings!$B$2:$B$500,A29,[1]Findings!$H$2:$H$500,"Critical")</f>
        <v>0</v>
      </c>
      <c r="E29">
        <f>COUNTIFS([1]Findings!$B$2:$B$500,A29,[1]Findings!$H$2:$H$500,"Major")</f>
        <v>0</v>
      </c>
      <c r="F29">
        <f>COUNTIFS([1]Findings!$B$2:$B$500,A29,[1]Findings!$H$2:$H$500,"Minor")</f>
        <v>0</v>
      </c>
      <c r="G29">
        <f>COUNTIFS([1]Findings!$B$2:$B$500,A29,[1]Findings!$H$2:$H$500,"Low")</f>
        <v>0</v>
      </c>
      <c r="H29">
        <f>COUNTIFS([1]Findings!$B$2:$B$500,A29,[1]Findings!$H$2:$H$500,"Informational")</f>
        <v>0</v>
      </c>
      <c r="I29">
        <f>IF(SUM(C29:G29)&gt;0,1,0)</f>
        <v>0</v>
      </c>
    </row>
    <row r="30" spans="1:9" x14ac:dyDescent="0.2">
      <c r="A30" t="s">
        <v>29</v>
      </c>
      <c r="B30" t="s">
        <v>2</v>
      </c>
      <c r="C30">
        <f>COUNTIFS([1]Findings!$B$2:$B$500,A30,[1]Findings!$H$2:$H$500,"Blocking")</f>
        <v>0</v>
      </c>
      <c r="D30">
        <f>COUNTIFS([1]Findings!$B$2:$B$500,A30,[1]Findings!$H$2:$H$500,"Critical")</f>
        <v>0</v>
      </c>
      <c r="E30">
        <f>COUNTIFS([1]Findings!$B$2:$B$500,A30,[1]Findings!$H$2:$H$500,"Major")</f>
        <v>14</v>
      </c>
      <c r="F30">
        <f>COUNTIFS([1]Findings!$B$2:$B$500,A30,[1]Findings!$H$2:$H$500,"Minor")</f>
        <v>6</v>
      </c>
      <c r="G30">
        <f>COUNTIFS([1]Findings!$B$2:$B$500,A30,[1]Findings!$H$2:$H$500,"Low")</f>
        <v>4</v>
      </c>
      <c r="H30">
        <f>COUNTIFS([1]Findings!$B$2:$B$500,A30,[1]Findings!$H$2:$H$500,"Informational")</f>
        <v>0</v>
      </c>
      <c r="I30">
        <f>IF(SUM(C30:G30)&gt;0,1,0)</f>
        <v>1</v>
      </c>
    </row>
    <row r="31" spans="1:9" x14ac:dyDescent="0.2">
      <c r="A31" t="s">
        <v>28</v>
      </c>
      <c r="B31" t="s">
        <v>2</v>
      </c>
      <c r="C31">
        <f>COUNTIFS([1]Findings!$B$2:$B$500,A31,[1]Findings!$H$2:$H$500,"Blocking")</f>
        <v>0</v>
      </c>
      <c r="D31">
        <f>COUNTIFS([1]Findings!$B$2:$B$500,A31,[1]Findings!$H$2:$H$500,"Critical")</f>
        <v>0</v>
      </c>
      <c r="E31">
        <f>COUNTIFS([1]Findings!$B$2:$B$500,A31,[1]Findings!$H$2:$H$500,"Major")</f>
        <v>1</v>
      </c>
      <c r="F31">
        <f>COUNTIFS([1]Findings!$B$2:$B$500,A31,[1]Findings!$H$2:$H$500,"Minor")</f>
        <v>1</v>
      </c>
      <c r="G31">
        <f>COUNTIFS([1]Findings!$B$2:$B$500,A31,[1]Findings!$H$2:$H$500,"Low")</f>
        <v>0</v>
      </c>
      <c r="H31">
        <f>COUNTIFS([1]Findings!$B$2:$B$500,A31,[1]Findings!$H$2:$H$500,"Informational")</f>
        <v>0</v>
      </c>
      <c r="I31">
        <f>IF(SUM(C31:G31)&gt;0,1,0)</f>
        <v>1</v>
      </c>
    </row>
    <row r="32" spans="1:9" x14ac:dyDescent="0.2">
      <c r="A32" t="s">
        <v>27</v>
      </c>
      <c r="B32" t="s">
        <v>0</v>
      </c>
      <c r="C32">
        <f>COUNTIFS([1]Findings!$B$2:$B$500,A32,[1]Findings!$H$2:$H$500,"Blocking")</f>
        <v>0</v>
      </c>
      <c r="D32">
        <f>COUNTIFS([1]Findings!$B$2:$B$500,A32,[1]Findings!$H$2:$H$500,"Critical")</f>
        <v>0</v>
      </c>
      <c r="E32">
        <f>COUNTIFS([1]Findings!$B$2:$B$500,A32,[1]Findings!$H$2:$H$500,"Major")</f>
        <v>0</v>
      </c>
      <c r="F32">
        <f>COUNTIFS([1]Findings!$B$2:$B$500,A32,[1]Findings!$H$2:$H$500,"Minor")</f>
        <v>0</v>
      </c>
      <c r="G32">
        <f>COUNTIFS([1]Findings!$B$2:$B$500,A32,[1]Findings!$H$2:$H$500,"Low")</f>
        <v>1</v>
      </c>
      <c r="H32">
        <f>COUNTIFS([1]Findings!$B$2:$B$500,A32,[1]Findings!$H$2:$H$500,"Informational")</f>
        <v>0</v>
      </c>
      <c r="I32">
        <f>IF(SUM(C32:G32)&gt;0,1,0)</f>
        <v>1</v>
      </c>
    </row>
    <row r="33" spans="1:9" x14ac:dyDescent="0.2">
      <c r="A33" t="s">
        <v>26</v>
      </c>
      <c r="B33" t="s">
        <v>0</v>
      </c>
      <c r="C33">
        <f>COUNTIFS([1]Findings!$B$2:$B$500,A33,[1]Findings!$H$2:$H$500,"Blocking")</f>
        <v>0</v>
      </c>
      <c r="D33">
        <f>COUNTIFS([1]Findings!$B$2:$B$500,A33,[1]Findings!$H$2:$H$500,"Critical")</f>
        <v>0</v>
      </c>
      <c r="E33">
        <f>COUNTIFS([1]Findings!$B$2:$B$500,A33,[1]Findings!$H$2:$H$500,"Major")</f>
        <v>2</v>
      </c>
      <c r="F33">
        <f>COUNTIFS([1]Findings!$B$2:$B$500,A33,[1]Findings!$H$2:$H$500,"Minor")</f>
        <v>1</v>
      </c>
      <c r="G33">
        <f>COUNTIFS([1]Findings!$B$2:$B$500,A33,[1]Findings!$H$2:$H$500,"Low")</f>
        <v>0</v>
      </c>
      <c r="H33">
        <f>COUNTIFS([1]Findings!$B$2:$B$500,A33,[1]Findings!$H$2:$H$500,"Informational")</f>
        <v>1</v>
      </c>
      <c r="I33">
        <f>IF(SUM(C33:G33)&gt;0,1,0)</f>
        <v>1</v>
      </c>
    </row>
    <row r="34" spans="1:9" x14ac:dyDescent="0.2">
      <c r="A34" t="s">
        <v>25</v>
      </c>
      <c r="B34" t="s">
        <v>0</v>
      </c>
      <c r="C34">
        <f>COUNTIFS([1]Findings!$B$2:$B$500,A34,[1]Findings!$H$2:$H$500,"Blocking")</f>
        <v>0</v>
      </c>
      <c r="D34">
        <f>COUNTIFS([1]Findings!$B$2:$B$500,A34,[1]Findings!$H$2:$H$500,"Critical")</f>
        <v>0</v>
      </c>
      <c r="E34">
        <f>COUNTIFS([1]Findings!$B$2:$B$500,A34,[1]Findings!$H$2:$H$500,"Major")</f>
        <v>7</v>
      </c>
      <c r="F34">
        <f>COUNTIFS([1]Findings!$B$2:$B$500,A34,[1]Findings!$H$2:$H$500,"Minor")</f>
        <v>21</v>
      </c>
      <c r="G34">
        <f>COUNTIFS([1]Findings!$B$2:$B$500,A34,[1]Findings!$H$2:$H$500,"Low")</f>
        <v>3</v>
      </c>
      <c r="H34">
        <f>COUNTIFS([1]Findings!$B$2:$B$500,A34,[1]Findings!$H$2:$H$500,"Informational")</f>
        <v>0</v>
      </c>
      <c r="I34">
        <f>IF(SUM(C34:G34)&gt;0,1,0)</f>
        <v>1</v>
      </c>
    </row>
    <row r="35" spans="1:9" x14ac:dyDescent="0.2">
      <c r="A35" t="s">
        <v>24</v>
      </c>
      <c r="B35" t="s">
        <v>0</v>
      </c>
      <c r="C35">
        <f>COUNTIFS([1]Findings!$B$2:$B$500,A35,[1]Findings!$H$2:$H$500,"Blocking")</f>
        <v>0</v>
      </c>
      <c r="D35">
        <f>COUNTIFS([1]Findings!$B$2:$B$500,A35,[1]Findings!$H$2:$H$500,"Critical")</f>
        <v>4</v>
      </c>
      <c r="E35">
        <f>COUNTIFS([1]Findings!$B$2:$B$500,A35,[1]Findings!$H$2:$H$500,"Major")</f>
        <v>11</v>
      </c>
      <c r="F35">
        <f>COUNTIFS([1]Findings!$B$2:$B$500,A35,[1]Findings!$H$2:$H$500,"Minor")</f>
        <v>3</v>
      </c>
      <c r="G35">
        <f>COUNTIFS([1]Findings!$B$2:$B$500,A35,[1]Findings!$H$2:$H$500,"Low")</f>
        <v>4</v>
      </c>
      <c r="H35">
        <f>COUNTIFS([1]Findings!$B$2:$B$500,A35,[1]Findings!$H$2:$H$500,"Informational")</f>
        <v>0</v>
      </c>
      <c r="I35">
        <f>IF(SUM(C35:G35)&gt;0,1,0)</f>
        <v>1</v>
      </c>
    </row>
    <row r="36" spans="1:9" x14ac:dyDescent="0.2">
      <c r="A36" t="s">
        <v>23</v>
      </c>
      <c r="B36" t="s">
        <v>2</v>
      </c>
      <c r="C36">
        <f>COUNTIFS([1]Findings!$B$2:$B$500,A36,[1]Findings!$H$2:$H$500,"Blocking")</f>
        <v>0</v>
      </c>
      <c r="D36">
        <f>COUNTIFS([1]Findings!$B$2:$B$500,A36,[1]Findings!$H$2:$H$500,"Critical")</f>
        <v>0</v>
      </c>
      <c r="E36">
        <f>COUNTIFS([1]Findings!$B$2:$B$500,A36,[1]Findings!$H$2:$H$500,"Major")</f>
        <v>0</v>
      </c>
      <c r="F36">
        <f>COUNTIFS([1]Findings!$B$2:$B$500,A36,[1]Findings!$H$2:$H$500,"Minor")</f>
        <v>0</v>
      </c>
      <c r="G36">
        <f>COUNTIFS([1]Findings!$B$2:$B$500,A36,[1]Findings!$H$2:$H$500,"Low")</f>
        <v>0</v>
      </c>
      <c r="H36">
        <f>COUNTIFS([1]Findings!$B$2:$B$500,A36,[1]Findings!$H$2:$H$500,"Informational")</f>
        <v>0</v>
      </c>
      <c r="I36">
        <f>IF(SUM(C36:G36)&gt;0,1,0)</f>
        <v>0</v>
      </c>
    </row>
    <row r="37" spans="1:9" x14ac:dyDescent="0.2">
      <c r="A37" t="s">
        <v>22</v>
      </c>
      <c r="B37" t="s">
        <v>2</v>
      </c>
      <c r="C37">
        <f>COUNTIFS([1]Findings!$B$2:$B$500,A37,[1]Findings!$H$2:$H$500,"Blocking")</f>
        <v>0</v>
      </c>
      <c r="D37">
        <f>COUNTIFS([1]Findings!$B$2:$B$500,A37,[1]Findings!$H$2:$H$500,"Critical")</f>
        <v>0</v>
      </c>
      <c r="E37">
        <f>COUNTIFS([1]Findings!$B$2:$B$500,A37,[1]Findings!$H$2:$H$500,"Major")</f>
        <v>0</v>
      </c>
      <c r="F37">
        <f>COUNTIFS([1]Findings!$B$2:$B$500,A37,[1]Findings!$H$2:$H$500,"Minor")</f>
        <v>1</v>
      </c>
      <c r="G37">
        <f>COUNTIFS([1]Findings!$B$2:$B$500,A37,[1]Findings!$H$2:$H$500,"Low")</f>
        <v>0</v>
      </c>
      <c r="H37">
        <f>COUNTIFS([1]Findings!$B$2:$B$500,A37,[1]Findings!$H$2:$H$500,"Informational")</f>
        <v>0</v>
      </c>
      <c r="I37">
        <f>IF(SUM(C37:G37)&gt;0,1,0)</f>
        <v>1</v>
      </c>
    </row>
    <row r="38" spans="1:9" x14ac:dyDescent="0.2">
      <c r="A38" t="s">
        <v>21</v>
      </c>
      <c r="B38" t="s">
        <v>2</v>
      </c>
      <c r="C38">
        <f>COUNTIFS([1]Findings!$B$2:$B$500,A38,[1]Findings!$H$2:$H$500,"Blocking")</f>
        <v>0</v>
      </c>
      <c r="D38">
        <f>COUNTIFS([1]Findings!$B$2:$B$500,A38,[1]Findings!$H$2:$H$500,"Critical")</f>
        <v>2</v>
      </c>
      <c r="E38">
        <f>COUNTIFS([1]Findings!$B$2:$B$500,A38,[1]Findings!$H$2:$H$500,"Major")</f>
        <v>3</v>
      </c>
      <c r="F38">
        <f>COUNTIFS([1]Findings!$B$2:$B$500,A38,[1]Findings!$H$2:$H$500,"Minor")</f>
        <v>3</v>
      </c>
      <c r="G38">
        <f>COUNTIFS([1]Findings!$B$2:$B$500,A38,[1]Findings!$H$2:$H$500,"Low")</f>
        <v>0</v>
      </c>
      <c r="H38">
        <f>COUNTIFS([1]Findings!$B$2:$B$500,A38,[1]Findings!$H$2:$H$500,"Informational")</f>
        <v>0</v>
      </c>
      <c r="I38">
        <f>IF(SUM(C38:G38)&gt;0,1,0)</f>
        <v>1</v>
      </c>
    </row>
    <row r="39" spans="1:9" x14ac:dyDescent="0.2">
      <c r="A39" t="s">
        <v>20</v>
      </c>
      <c r="B39" t="s">
        <v>2</v>
      </c>
      <c r="C39">
        <f>COUNTIFS([1]Findings!$B$2:$B$500,A39,[1]Findings!$H$2:$H$500,"Blocking")</f>
        <v>0</v>
      </c>
      <c r="D39">
        <f>COUNTIFS([1]Findings!$B$2:$B$500,A39,[1]Findings!$H$2:$H$500,"Critical")</f>
        <v>0</v>
      </c>
      <c r="E39">
        <f>COUNTIFS([1]Findings!$B$2:$B$500,A39,[1]Findings!$H$2:$H$500,"Major")</f>
        <v>0</v>
      </c>
      <c r="F39">
        <f>COUNTIFS([1]Findings!$B$2:$B$500,A39,[1]Findings!$H$2:$H$500,"Minor")</f>
        <v>0</v>
      </c>
      <c r="G39">
        <f>COUNTIFS([1]Findings!$B$2:$B$500,A39,[1]Findings!$H$2:$H$500,"Low")</f>
        <v>0</v>
      </c>
      <c r="H39">
        <f>COUNTIFS([1]Findings!$B$2:$B$500,A39,[1]Findings!$H$2:$H$500,"Informational")</f>
        <v>0</v>
      </c>
      <c r="I39">
        <f>IF(SUM(C39:G39)&gt;0,1,0)</f>
        <v>0</v>
      </c>
    </row>
    <row r="40" spans="1:9" x14ac:dyDescent="0.2">
      <c r="A40" t="s">
        <v>19</v>
      </c>
      <c r="B40" t="s">
        <v>0</v>
      </c>
      <c r="C40">
        <f>COUNTIFS([1]Findings!$B$2:$B$500,A40,[1]Findings!$H$2:$H$500,"Blocking")</f>
        <v>1</v>
      </c>
      <c r="D40">
        <f>COUNTIFS([1]Findings!$B$2:$B$500,A40,[1]Findings!$H$2:$H$500,"Critical")</f>
        <v>0</v>
      </c>
      <c r="E40">
        <f>COUNTIFS([1]Findings!$B$2:$B$500,A40,[1]Findings!$H$2:$H$500,"Major")</f>
        <v>0</v>
      </c>
      <c r="F40">
        <f>COUNTIFS([1]Findings!$B$2:$B$500,A40,[1]Findings!$H$2:$H$500,"Minor")</f>
        <v>0</v>
      </c>
      <c r="G40">
        <f>COUNTIFS([1]Findings!$B$2:$B$500,A40,[1]Findings!$H$2:$H$500,"Low")</f>
        <v>0</v>
      </c>
      <c r="H40">
        <f>COUNTIFS([1]Findings!$B$2:$B$500,A40,[1]Findings!$H$2:$H$500,"Informational")</f>
        <v>0</v>
      </c>
      <c r="I40">
        <f>IF(SUM(C40:G40)&gt;0,1,0)</f>
        <v>1</v>
      </c>
    </row>
    <row r="41" spans="1:9" x14ac:dyDescent="0.2">
      <c r="A41" t="s">
        <v>18</v>
      </c>
      <c r="B41" t="s">
        <v>0</v>
      </c>
      <c r="C41">
        <f>COUNTIFS([1]Findings!$B$2:$B$500,A41,[1]Findings!$H$2:$H$500,"Blocking")</f>
        <v>0</v>
      </c>
      <c r="D41">
        <f>COUNTIFS([1]Findings!$B$2:$B$500,A41,[1]Findings!$H$2:$H$500,"Critical")</f>
        <v>1</v>
      </c>
      <c r="E41">
        <f>COUNTIFS([1]Findings!$B$2:$B$500,A41,[1]Findings!$H$2:$H$500,"Major")</f>
        <v>0</v>
      </c>
      <c r="F41">
        <f>COUNTIFS([1]Findings!$B$2:$B$500,A41,[1]Findings!$H$2:$H$500,"Minor")</f>
        <v>1</v>
      </c>
      <c r="G41">
        <f>COUNTIFS([1]Findings!$B$2:$B$500,A41,[1]Findings!$H$2:$H$500,"Low")</f>
        <v>3</v>
      </c>
      <c r="H41">
        <f>COUNTIFS([1]Findings!$B$2:$B$500,A41,[1]Findings!$H$2:$H$500,"Informational")</f>
        <v>0</v>
      </c>
      <c r="I41">
        <f>IF(SUM(C41:G41)&gt;0,1,0)</f>
        <v>1</v>
      </c>
    </row>
    <row r="42" spans="1:9" x14ac:dyDescent="0.2">
      <c r="A42" t="s">
        <v>17</v>
      </c>
      <c r="B42" t="s">
        <v>2</v>
      </c>
      <c r="C42">
        <f>COUNTIFS([1]Findings!$B$2:$B$500,A42,[1]Findings!$H$2:$H$500,"Blocking")</f>
        <v>0</v>
      </c>
      <c r="D42">
        <f>COUNTIFS([1]Findings!$B$2:$B$500,A42,[1]Findings!$H$2:$H$500,"Critical")</f>
        <v>1</v>
      </c>
      <c r="E42">
        <f>COUNTIFS([1]Findings!$B$2:$B$500,A42,[1]Findings!$H$2:$H$500,"Major")</f>
        <v>0</v>
      </c>
      <c r="F42">
        <f>COUNTIFS([1]Findings!$B$2:$B$500,A42,[1]Findings!$H$2:$H$500,"Minor")</f>
        <v>0</v>
      </c>
      <c r="G42">
        <f>COUNTIFS([1]Findings!$B$2:$B$500,A42,[1]Findings!$H$2:$H$500,"Low")</f>
        <v>0</v>
      </c>
      <c r="H42">
        <f>COUNTIFS([1]Findings!$B$2:$B$500,A42,[1]Findings!$H$2:$H$500,"Informational")</f>
        <v>0</v>
      </c>
      <c r="I42">
        <f>IF(SUM(C42:G42)&gt;0,1,0)</f>
        <v>1</v>
      </c>
    </row>
    <row r="43" spans="1:9" x14ac:dyDescent="0.2">
      <c r="A43" t="s">
        <v>16</v>
      </c>
      <c r="B43" t="s">
        <v>0</v>
      </c>
      <c r="C43">
        <f>COUNTIFS([1]Findings!$B$2:$B$500,A43,[1]Findings!$H$2:$H$500,"Blocking")</f>
        <v>0</v>
      </c>
      <c r="D43">
        <f>COUNTIFS([1]Findings!$B$2:$B$500,A43,[1]Findings!$H$2:$H$500,"Critical")</f>
        <v>1</v>
      </c>
      <c r="E43">
        <f>COUNTIFS([1]Findings!$B$2:$B$500,A43,[1]Findings!$H$2:$H$500,"Major")</f>
        <v>1</v>
      </c>
      <c r="F43">
        <f>COUNTIFS([1]Findings!$B$2:$B$500,A43,[1]Findings!$H$2:$H$500,"Minor")</f>
        <v>0</v>
      </c>
      <c r="G43">
        <f>COUNTIFS([1]Findings!$B$2:$B$500,A43,[1]Findings!$H$2:$H$500,"Low")</f>
        <v>2</v>
      </c>
      <c r="H43">
        <f>COUNTIFS([1]Findings!$B$2:$B$500,A43,[1]Findings!$H$2:$H$500,"Informational")</f>
        <v>0</v>
      </c>
      <c r="I43">
        <f>IF(SUM(C43:G43)&gt;0,1,0)</f>
        <v>1</v>
      </c>
    </row>
    <row r="44" spans="1:9" x14ac:dyDescent="0.2">
      <c r="A44" t="s">
        <v>15</v>
      </c>
      <c r="B44" t="s">
        <v>2</v>
      </c>
      <c r="C44">
        <f>COUNTIFS([1]Findings!$B$2:$B$500,A44,[1]Findings!$H$2:$H$500,"Blocking")</f>
        <v>0</v>
      </c>
      <c r="D44">
        <f>COUNTIFS([1]Findings!$B$2:$B$500,A44,[1]Findings!$H$2:$H$500,"Critical")</f>
        <v>0</v>
      </c>
      <c r="E44">
        <f>COUNTIFS([1]Findings!$B$2:$B$500,A44,[1]Findings!$H$2:$H$500,"Major")</f>
        <v>0</v>
      </c>
      <c r="F44">
        <f>COUNTIFS([1]Findings!$B$2:$B$500,A44,[1]Findings!$H$2:$H$500,"Minor")</f>
        <v>0</v>
      </c>
      <c r="G44">
        <f>COUNTIFS([1]Findings!$B$2:$B$500,A44,[1]Findings!$H$2:$H$500,"Low")</f>
        <v>0</v>
      </c>
      <c r="H44">
        <f>COUNTIFS([1]Findings!$B$2:$B$500,A44,[1]Findings!$H$2:$H$500,"Informational")</f>
        <v>0</v>
      </c>
      <c r="I44">
        <f>IF(SUM(C44:G44)&gt;0,1,0)</f>
        <v>0</v>
      </c>
    </row>
    <row r="45" spans="1:9" x14ac:dyDescent="0.2">
      <c r="A45" t="s">
        <v>14</v>
      </c>
      <c r="B45" t="s">
        <v>2</v>
      </c>
      <c r="C45">
        <f>COUNTIFS([1]Findings!$B$2:$B$500,A45,[1]Findings!$H$2:$H$500,"Blocking")</f>
        <v>0</v>
      </c>
      <c r="D45">
        <f>COUNTIFS([1]Findings!$B$2:$B$500,A45,[1]Findings!$H$2:$H$500,"Critical")</f>
        <v>1</v>
      </c>
      <c r="E45">
        <f>COUNTIFS([1]Findings!$B$2:$B$500,A45,[1]Findings!$H$2:$H$500,"Major")</f>
        <v>2</v>
      </c>
      <c r="F45">
        <f>COUNTIFS([1]Findings!$B$2:$B$500,A45,[1]Findings!$H$2:$H$500,"Minor")</f>
        <v>0</v>
      </c>
      <c r="G45">
        <f>COUNTIFS([1]Findings!$B$2:$B$500,A45,[1]Findings!$H$2:$H$500,"Low")</f>
        <v>0</v>
      </c>
      <c r="H45">
        <f>COUNTIFS([1]Findings!$B$2:$B$500,A45,[1]Findings!$H$2:$H$500,"Informational")</f>
        <v>0</v>
      </c>
      <c r="I45">
        <f>IF(SUM(C45:G45)&gt;0,1,0)</f>
        <v>1</v>
      </c>
    </row>
    <row r="46" spans="1:9" x14ac:dyDescent="0.2">
      <c r="A46" t="s">
        <v>13</v>
      </c>
      <c r="B46" t="s">
        <v>0</v>
      </c>
      <c r="C46">
        <f>COUNTIFS([1]Findings!$B$2:$B$500,A46,[1]Findings!$H$2:$H$500,"Blocking")</f>
        <v>0</v>
      </c>
      <c r="D46">
        <f>COUNTIFS([1]Findings!$B$2:$B$500,A46,[1]Findings!$H$2:$H$500,"Critical")</f>
        <v>0</v>
      </c>
      <c r="E46">
        <f>COUNTIFS([1]Findings!$B$2:$B$500,A46,[1]Findings!$H$2:$H$500,"Major")</f>
        <v>0</v>
      </c>
      <c r="F46">
        <f>COUNTIFS([1]Findings!$B$2:$B$500,A46,[1]Findings!$H$2:$H$500,"Minor")</f>
        <v>1</v>
      </c>
      <c r="G46">
        <f>COUNTIFS([1]Findings!$B$2:$B$500,A46,[1]Findings!$H$2:$H$500,"Low")</f>
        <v>2</v>
      </c>
      <c r="H46">
        <f>COUNTIFS([1]Findings!$B$2:$B$500,A46,[1]Findings!$H$2:$H$500,"Informational")</f>
        <v>0</v>
      </c>
      <c r="I46">
        <f>IF(SUM(C46:G46)&gt;0,1,0)</f>
        <v>1</v>
      </c>
    </row>
    <row r="47" spans="1:9" x14ac:dyDescent="0.2">
      <c r="A47" t="s">
        <v>12</v>
      </c>
      <c r="B47" t="s">
        <v>0</v>
      </c>
      <c r="C47">
        <f>COUNTIFS([1]Findings!$B$2:$B$500,A47,[1]Findings!$H$2:$H$500,"Blocking")</f>
        <v>0</v>
      </c>
      <c r="D47">
        <f>COUNTIFS([1]Findings!$B$2:$B$500,A47,[1]Findings!$H$2:$H$500,"Critical")</f>
        <v>0</v>
      </c>
      <c r="E47">
        <f>COUNTIFS([1]Findings!$B$2:$B$500,A47,[1]Findings!$H$2:$H$500,"Major")</f>
        <v>0</v>
      </c>
      <c r="F47">
        <f>COUNTIFS([1]Findings!$B$2:$B$500,A47,[1]Findings!$H$2:$H$500,"Minor")</f>
        <v>3</v>
      </c>
      <c r="G47">
        <f>COUNTIFS([1]Findings!$B$2:$B$500,A47,[1]Findings!$H$2:$H$500,"Low")</f>
        <v>1</v>
      </c>
      <c r="H47">
        <f>COUNTIFS([1]Findings!$B$2:$B$500,A47,[1]Findings!$H$2:$H$500,"Informational")</f>
        <v>0</v>
      </c>
      <c r="I47">
        <f>IF(SUM(C47:G47)&gt;0,1,0)</f>
        <v>1</v>
      </c>
    </row>
    <row r="48" spans="1:9" x14ac:dyDescent="0.2">
      <c r="A48" t="s">
        <v>11</v>
      </c>
      <c r="B48" t="s">
        <v>2</v>
      </c>
      <c r="C48">
        <f>COUNTIFS([1]Findings!$B$2:$B$500,A48,[1]Findings!$H$2:$H$500,"Blocking")</f>
        <v>0</v>
      </c>
      <c r="D48">
        <f>COUNTIFS([1]Findings!$B$2:$B$500,A48,[1]Findings!$H$2:$H$500,"Critical")</f>
        <v>0</v>
      </c>
      <c r="E48">
        <f>COUNTIFS([1]Findings!$B$2:$B$500,A48,[1]Findings!$H$2:$H$500,"Major")</f>
        <v>1</v>
      </c>
      <c r="F48">
        <f>COUNTIFS([1]Findings!$B$2:$B$500,A48,[1]Findings!$H$2:$H$500,"Minor")</f>
        <v>0</v>
      </c>
      <c r="G48">
        <f>COUNTIFS([1]Findings!$B$2:$B$500,A48,[1]Findings!$H$2:$H$500,"Low")</f>
        <v>0</v>
      </c>
      <c r="H48">
        <f>COUNTIFS([1]Findings!$B$2:$B$500,A48,[1]Findings!$H$2:$H$500,"Informational")</f>
        <v>0</v>
      </c>
      <c r="I48">
        <f>IF(SUM(C48:G48)&gt;0,1,0)</f>
        <v>1</v>
      </c>
    </row>
    <row r="49" spans="1:9" x14ac:dyDescent="0.2">
      <c r="A49" t="s">
        <v>10</v>
      </c>
      <c r="B49" t="s">
        <v>2</v>
      </c>
      <c r="C49">
        <f>COUNTIFS([1]Findings!$B$2:$B$500,A49,[1]Findings!$H$2:$H$500,"Blocking")</f>
        <v>2</v>
      </c>
      <c r="D49">
        <f>COUNTIFS([1]Findings!$B$2:$B$500,A49,[1]Findings!$H$2:$H$500,"Critical")</f>
        <v>4</v>
      </c>
      <c r="E49">
        <f>COUNTIFS([1]Findings!$B$2:$B$500,A49,[1]Findings!$H$2:$H$500,"Major")</f>
        <v>3</v>
      </c>
      <c r="F49">
        <f>COUNTIFS([1]Findings!$B$2:$B$500,A49,[1]Findings!$H$2:$H$500,"Minor")</f>
        <v>4</v>
      </c>
      <c r="G49">
        <f>COUNTIFS([1]Findings!$B$2:$B$500,A49,[1]Findings!$H$2:$H$500,"Low")</f>
        <v>1</v>
      </c>
      <c r="H49">
        <f>COUNTIFS([1]Findings!$B$2:$B$500,A49,[1]Findings!$H$2:$H$500,"Informational")</f>
        <v>0</v>
      </c>
      <c r="I49">
        <f>IF(SUM(C49:G49)&gt;0,1,0)</f>
        <v>1</v>
      </c>
    </row>
    <row r="50" spans="1:9" x14ac:dyDescent="0.2">
      <c r="A50" t="s">
        <v>9</v>
      </c>
      <c r="B50" t="s">
        <v>2</v>
      </c>
      <c r="C50">
        <f>COUNTIFS([1]Findings!$B$2:$B$500,A50,[1]Findings!$H$2:$H$500,"Blocking")</f>
        <v>0</v>
      </c>
      <c r="D50">
        <f>COUNTIFS([1]Findings!$B$2:$B$500,A50,[1]Findings!$H$2:$H$500,"Critical")</f>
        <v>2</v>
      </c>
      <c r="E50">
        <f>COUNTIFS([1]Findings!$B$2:$B$500,A50,[1]Findings!$H$2:$H$500,"Major")</f>
        <v>13</v>
      </c>
      <c r="F50">
        <f>COUNTIFS([1]Findings!$B$2:$B$500,A50,[1]Findings!$H$2:$H$500,"Minor")</f>
        <v>0</v>
      </c>
      <c r="G50">
        <f>COUNTIFS([1]Findings!$B$2:$B$500,A50,[1]Findings!$H$2:$H$500,"Low")</f>
        <v>0</v>
      </c>
      <c r="H50">
        <f>COUNTIFS([1]Findings!$B$2:$B$500,A50,[1]Findings!$H$2:$H$500,"Informational")</f>
        <v>2</v>
      </c>
      <c r="I50">
        <f>IF(SUM(C50:G50)&gt;0,1,0)</f>
        <v>1</v>
      </c>
    </row>
    <row r="51" spans="1:9" x14ac:dyDescent="0.2">
      <c r="A51" t="s">
        <v>8</v>
      </c>
      <c r="B51" t="s">
        <v>0</v>
      </c>
      <c r="C51">
        <f>COUNTIFS([1]Findings!$B$2:$B$500,A51,[1]Findings!$H$2:$H$500,"Blocking")</f>
        <v>0</v>
      </c>
      <c r="D51">
        <f>COUNTIFS([1]Findings!$B$2:$B$500,A51,[1]Findings!$H$2:$H$500,"Critical")</f>
        <v>0</v>
      </c>
      <c r="E51">
        <f>COUNTIFS([1]Findings!$B$2:$B$500,A51,[1]Findings!$H$2:$H$500,"Major")</f>
        <v>3</v>
      </c>
      <c r="F51">
        <f>COUNTIFS([1]Findings!$B$2:$B$500,A51,[1]Findings!$H$2:$H$500,"Minor")</f>
        <v>2</v>
      </c>
      <c r="G51">
        <f>COUNTIFS([1]Findings!$B$2:$B$500,A51,[1]Findings!$H$2:$H$500,"Low")</f>
        <v>0</v>
      </c>
      <c r="H51">
        <f>COUNTIFS([1]Findings!$B$2:$B$500,A51,[1]Findings!$H$2:$H$500,"Informational")</f>
        <v>0</v>
      </c>
      <c r="I51">
        <f>IF(SUM(C51:G51)&gt;0,1,0)</f>
        <v>1</v>
      </c>
    </row>
    <row r="52" spans="1:9" x14ac:dyDescent="0.2">
      <c r="A52" t="s">
        <v>7</v>
      </c>
      <c r="B52" t="s">
        <v>0</v>
      </c>
      <c r="C52">
        <f>COUNTIFS([1]Findings!$B$2:$B$500,A52,[1]Findings!$H$2:$H$500,"Blocking")</f>
        <v>0</v>
      </c>
      <c r="D52">
        <f>COUNTIFS([1]Findings!$B$2:$B$500,A52,[1]Findings!$H$2:$H$500,"Critical")</f>
        <v>0</v>
      </c>
      <c r="E52">
        <f>COUNTIFS([1]Findings!$B$2:$B$500,A52,[1]Findings!$H$2:$H$500,"Major")</f>
        <v>0</v>
      </c>
      <c r="F52">
        <f>COUNTIFS([1]Findings!$B$2:$B$500,A52,[1]Findings!$H$2:$H$500,"Minor")</f>
        <v>0</v>
      </c>
      <c r="G52">
        <f>COUNTIFS([1]Findings!$B$2:$B$500,A52,[1]Findings!$H$2:$H$500,"Low")</f>
        <v>0</v>
      </c>
      <c r="H52">
        <f>COUNTIFS([1]Findings!$B$2:$B$500,A52,[1]Findings!$H$2:$H$500,"Informational")</f>
        <v>0</v>
      </c>
      <c r="I52">
        <f>IF(SUM(C52:G52)&gt;0,1,0)</f>
        <v>0</v>
      </c>
    </row>
    <row r="53" spans="1:9" x14ac:dyDescent="0.2">
      <c r="A53" t="s">
        <v>6</v>
      </c>
      <c r="B53" t="s">
        <v>2</v>
      </c>
      <c r="C53">
        <f>COUNTIFS([1]Findings!$B$2:$B$500,A53,[1]Findings!$H$2:$H$500,"Blocking")</f>
        <v>0</v>
      </c>
      <c r="D53">
        <f>COUNTIFS([1]Findings!$B$2:$B$500,A53,[1]Findings!$H$2:$H$500,"Critical")</f>
        <v>0</v>
      </c>
      <c r="E53">
        <f>COUNTIFS([1]Findings!$B$2:$B$500,A53,[1]Findings!$H$2:$H$500,"Major")</f>
        <v>0</v>
      </c>
      <c r="F53">
        <f>COUNTIFS([1]Findings!$B$2:$B$500,A53,[1]Findings!$H$2:$H$500,"Minor")</f>
        <v>0</v>
      </c>
      <c r="G53">
        <f>COUNTIFS([1]Findings!$B$2:$B$500,A53,[1]Findings!$H$2:$H$500,"Low")</f>
        <v>0</v>
      </c>
      <c r="H53">
        <f>COUNTIFS([1]Findings!$B$2:$B$500,A53,[1]Findings!$H$2:$H$500,"Informational")</f>
        <v>0</v>
      </c>
      <c r="I53">
        <f>IF(SUM(C53:G53)&gt;0,1,0)</f>
        <v>0</v>
      </c>
    </row>
    <row r="54" spans="1:9" x14ac:dyDescent="0.2">
      <c r="A54" t="s">
        <v>5</v>
      </c>
      <c r="B54" t="s">
        <v>0</v>
      </c>
      <c r="C54">
        <f>COUNTIFS([1]Findings!$B$2:$B$500,A54,[1]Findings!$H$2:$H$500,"Blocking")</f>
        <v>0</v>
      </c>
      <c r="D54">
        <f>COUNTIFS([1]Findings!$B$2:$B$500,A54,[1]Findings!$H$2:$H$500,"Critical")</f>
        <v>0</v>
      </c>
      <c r="E54">
        <f>COUNTIFS([1]Findings!$B$2:$B$500,A54,[1]Findings!$H$2:$H$500,"Major")</f>
        <v>0</v>
      </c>
      <c r="F54">
        <f>COUNTIFS([1]Findings!$B$2:$B$500,A54,[1]Findings!$H$2:$H$500,"Minor")</f>
        <v>0</v>
      </c>
      <c r="G54">
        <f>COUNTIFS([1]Findings!$B$2:$B$500,A54,[1]Findings!$H$2:$H$500,"Low")</f>
        <v>0</v>
      </c>
      <c r="H54">
        <f>COUNTIFS([1]Findings!$B$2:$B$500,A54,[1]Findings!$H$2:$H$500,"Informational")</f>
        <v>0</v>
      </c>
      <c r="I54">
        <f>IF(SUM(C54:G54)&gt;0,1,0)</f>
        <v>0</v>
      </c>
    </row>
    <row r="55" spans="1:9" x14ac:dyDescent="0.2">
      <c r="A55" t="s">
        <v>4</v>
      </c>
      <c r="B55" t="s">
        <v>2</v>
      </c>
      <c r="C55">
        <f>COUNTIFS([1]Findings!$B$2:$B$500,A55,[1]Findings!$H$2:$H$500,"Blocking")</f>
        <v>0</v>
      </c>
      <c r="D55">
        <f>COUNTIFS([1]Findings!$B$2:$B$500,A55,[1]Findings!$H$2:$H$500,"Critical")</f>
        <v>0</v>
      </c>
      <c r="E55">
        <f>COUNTIFS([1]Findings!$B$2:$B$500,A55,[1]Findings!$H$2:$H$500,"Major")</f>
        <v>0</v>
      </c>
      <c r="F55">
        <f>COUNTIFS([1]Findings!$B$2:$B$500,A55,[1]Findings!$H$2:$H$500,"Minor")</f>
        <v>0</v>
      </c>
      <c r="G55">
        <f>COUNTIFS([1]Findings!$B$2:$B$500,A55,[1]Findings!$H$2:$H$500,"Low")</f>
        <v>0</v>
      </c>
      <c r="H55">
        <f>COUNTIFS([1]Findings!$B$2:$B$500,A55,[1]Findings!$H$2:$H$500,"Informational")</f>
        <v>0</v>
      </c>
      <c r="I55">
        <f>IF(SUM(C55:G55)&gt;0,1,0)</f>
        <v>0</v>
      </c>
    </row>
    <row r="56" spans="1:9" x14ac:dyDescent="0.2">
      <c r="A56" t="s">
        <v>3</v>
      </c>
      <c r="B56" t="s">
        <v>2</v>
      </c>
      <c r="C56">
        <f>COUNTIFS([1]Findings!$B$2:$B$500,A56,[1]Findings!$H$2:$H$500,"Blocking")</f>
        <v>1</v>
      </c>
      <c r="D56">
        <f>COUNTIFS([1]Findings!$B$2:$B$500,A56,[1]Findings!$H$2:$H$500,"Critical")</f>
        <v>5</v>
      </c>
      <c r="E56">
        <f>COUNTIFS([1]Findings!$B$2:$B$500,A56,[1]Findings!$H$2:$H$500,"Major")</f>
        <v>9</v>
      </c>
      <c r="F56">
        <f>COUNTIFS([1]Findings!$B$2:$B$500,A56,[1]Findings!$H$2:$H$500,"Minor")</f>
        <v>1</v>
      </c>
      <c r="G56">
        <f>COUNTIFS([1]Findings!$B$2:$B$500,A56,[1]Findings!$H$2:$H$500,"Low")</f>
        <v>1</v>
      </c>
      <c r="H56">
        <f>COUNTIFS([1]Findings!$B$2:$B$500,A56,[1]Findings!$H$2:$H$500,"Informational")</f>
        <v>1</v>
      </c>
      <c r="I56">
        <f>IF(SUM(C56:G56)&gt;0,1,0)</f>
        <v>1</v>
      </c>
    </row>
    <row r="57" spans="1:9" x14ac:dyDescent="0.2">
      <c r="A57" t="s">
        <v>1</v>
      </c>
      <c r="B57" t="s">
        <v>0</v>
      </c>
      <c r="C57">
        <f>COUNTIFS([1]Findings!$B$2:$B$500,A57,[1]Findings!$H$2:$H$500,"Blocking")</f>
        <v>0</v>
      </c>
      <c r="D57">
        <f>COUNTIFS([1]Findings!$B$2:$B$500,A57,[1]Findings!$H$2:$H$500,"Critical")</f>
        <v>3</v>
      </c>
      <c r="E57">
        <f>COUNTIFS([1]Findings!$B$2:$B$500,A57,[1]Findings!$H$2:$H$500,"Major")</f>
        <v>13</v>
      </c>
      <c r="F57">
        <f>COUNTIFS([1]Findings!$B$2:$B$500,A57,[1]Findings!$H$2:$H$500,"Minor")</f>
        <v>3</v>
      </c>
      <c r="G57">
        <f>COUNTIFS([1]Findings!$B$2:$B$500,A57,[1]Findings!$H$2:$H$500,"Low")</f>
        <v>0</v>
      </c>
      <c r="H57">
        <f>COUNTIFS([1]Findings!$B$2:$B$500,A57,[1]Findings!$H$2:$H$500,"Informational")</f>
        <v>0</v>
      </c>
      <c r="I57">
        <f>IF(SUM(C57:G57)&gt;0,1,0)</f>
        <v>1</v>
      </c>
    </row>
  </sheetData>
  <sheetProtection algorithmName="SHA-512" hashValue="oNUPDzbPYtMWXEmBKvu1tSajjEAGYxXr58VjpCcj3jo0SfCVe/le+xWVzD1wlF5EOUG+By2kW5m6WyQRnzxdwA==" saltValue="Axv3IS/tgeJ48/EIgcLsYg==" spinCount="100000" sheet="1" objects="1" scenarios="1"/>
  <mergeCells count="2">
    <mergeCell ref="L2:Q2"/>
    <mergeCell ref="L9:N9"/>
  </mergeCells>
  <conditionalFormatting sqref="C2:C57">
    <cfRule type="cellIs" dxfId="9" priority="8" operator="greaterThan">
      <formula>0</formula>
    </cfRule>
  </conditionalFormatting>
  <conditionalFormatting sqref="D2:D57">
    <cfRule type="cellIs" dxfId="8" priority="7" operator="greaterThan">
      <formula>0</formula>
    </cfRule>
  </conditionalFormatting>
  <conditionalFormatting sqref="E2:E57">
    <cfRule type="cellIs" dxfId="7" priority="6" operator="greaterThan">
      <formula>0</formula>
    </cfRule>
  </conditionalFormatting>
  <conditionalFormatting sqref="F2:F57">
    <cfRule type="cellIs" dxfId="6" priority="5" operator="greaterThan">
      <formula>0</formula>
    </cfRule>
  </conditionalFormatting>
  <conditionalFormatting sqref="A2:A57">
    <cfRule type="expression" dxfId="5" priority="4">
      <formula>SUM(C2:G2)=0</formula>
    </cfRule>
  </conditionalFormatting>
  <conditionalFormatting sqref="B8:B57 B2:B3 B6">
    <cfRule type="expression" dxfId="4" priority="9">
      <formula>SUM(D2:K2)=0</formula>
    </cfRule>
  </conditionalFormatting>
  <conditionalFormatting sqref="B4:B5 B7">
    <cfRule type="expression" dxfId="3" priority="10">
      <formula>SUM(D4:J4)=0</formula>
    </cfRule>
  </conditionalFormatting>
  <conditionalFormatting sqref="J1">
    <cfRule type="cellIs" dxfId="2" priority="3" operator="greaterThan">
      <formula>0</formula>
    </cfRule>
  </conditionalFormatting>
  <conditionalFormatting sqref="G2:G57">
    <cfRule type="cellIs" dxfId="1" priority="2" operator="greaterThan">
      <formula>0</formula>
    </cfRule>
  </conditionalFormatting>
  <conditionalFormatting sqref="H2:H57">
    <cfRule type="cellIs" dxfId="0" priority="1" operator="greaterThan">
      <formula>0</formula>
    </cfRule>
  </conditionalFormatting>
  <pageMargins left="0.7" right="0.7" top="0.75" bottom="0.75" header="0.3" footer="0.3"/>
  <headerFooter>
    <oddFooter>&amp;C_x000D_&amp;1#&amp;"Calibri"&amp;10&amp;K000000 CONFIDENTIALITY NOTICE: This document is intended only for the use of the recipients to which Equinix sends it.</oddFooter>
  </headerFooter>
</worksheet>
</file>

<file path=docMetadata/LabelInfo.xml><?xml version="1.0" encoding="utf-8"?>
<clbl:labelList xmlns:clbl="http://schemas.microsoft.com/office/2020/mipLabelMetadata">
  <clbl:label id="{4de069e9-01e3-4c04-8fd1-6f5884d2626e}" enabled="1" method="Standard" siteId="{72adb271-2fc7-4afe-a5ee-9de6a59f6bf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Breakdown of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Dharod</dc:creator>
  <cp:lastModifiedBy>Manish Dharod</cp:lastModifiedBy>
  <dcterms:created xsi:type="dcterms:W3CDTF">2025-05-28T22:07:41Z</dcterms:created>
  <dcterms:modified xsi:type="dcterms:W3CDTF">2025-05-28T22:08:09Z</dcterms:modified>
</cp:coreProperties>
</file>